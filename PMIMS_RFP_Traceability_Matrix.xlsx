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Gold2\"/>
    </mc:Choice>
  </mc:AlternateContent>
  <xr:revisionPtr revIDLastSave="0" documentId="13_ncr:1_{AA5B9DCD-BCF1-44EF-B01D-57B0F783B7CD}" xr6:coauthVersionLast="47" xr6:coauthVersionMax="47" xr10:uidLastSave="{00000000-0000-0000-0000-000000000000}"/>
  <bookViews>
    <workbookView xWindow="-110" yWindow="-110" windowWidth="19420" windowHeight="10660" tabRatio="500" activeTab="2" xr2:uid="{00000000-000D-0000-FFFF-FFFF00000000}"/>
  </bookViews>
  <sheets>
    <sheet name="Traceability Matrix" sheetId="1" r:id="rId1"/>
    <sheet name="Category Catalog" sheetId="2" r:id="rId2"/>
    <sheet name="Summary" sheetId="3" r:id="rId3"/>
  </sheets>
  <definedNames>
    <definedName name="_xlnm._FilterDatabase" localSheetId="1" hidden="1">'Category Catalog'!$A$1:$E$27</definedName>
    <definedName name="_xlnm._FilterDatabase" localSheetId="0" hidden="1">'Traceability Matrix'!$A$1:$F$114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7" i="3"/>
  <c r="B6" i="3"/>
</calcChain>
</file>

<file path=xl/sharedStrings.xml><?xml version="1.0" encoding="utf-8"?>
<sst xmlns="http://schemas.openxmlformats.org/spreadsheetml/2006/main" count="697" uniqueCount="366">
  <si>
    <t>#</t>
  </si>
  <si>
    <t>RFP Section</t>
  </si>
  <si>
    <t>Requirement</t>
  </si>
  <si>
    <t>Mapped App Category</t>
  </si>
  <si>
    <t>Coverage Status</t>
  </si>
  <si>
    <t>Notes / Evidence</t>
  </si>
  <si>
    <t>1) General Business</t>
  </si>
  <si>
    <t>Centralized, automated inventory management replacing manual Excel-based tracking</t>
  </si>
  <si>
    <t>Inventory Management (core platform)</t>
  </si>
  <si>
    <t>Covered</t>
  </si>
  <si>
    <t>SQL Server/SQLite serialized ledger (inventory_items/balances) replaces Excel entirely</t>
  </si>
  <si>
    <t>Real-time monitoring of quantities/movements (vault, branches, customers)</t>
  </si>
  <si>
    <t>monitoring / Reports (Real-Time Monitoring)</t>
  </si>
  <si>
    <t>SignalR InventoryMonitoringHub, gated reports.read; screen-realtime</t>
  </si>
  <si>
    <t>Self-service dashboards for balances, transaction history, audit trails</t>
  </si>
  <si>
    <t>dashboard / reports</t>
  </si>
  <si>
    <t>Executive Dashboard, My Activity, Reports screens</t>
  </si>
  <si>
    <t>Clear, auditable records of all movements with traceability</t>
  </si>
  <si>
    <t>reports (Audit Trail)</t>
  </si>
  <si>
    <t>Tamper-evident hashed audit_logs; chain-of-custody events per item</t>
  </si>
  <si>
    <t>Integration with core banking (IMAL purchase, GFS movement) for posting/reconciliation</t>
  </si>
  <si>
    <t>reports (GL Postings) / Integration</t>
  </si>
  <si>
    <t>CoreBankingLedgerPosting entity; GET /reports/gl-postings</t>
  </si>
  <si>
    <t>Scalability for future precious metal dispensing machine integration</t>
  </si>
  <si>
    <t>dispensing / device_integration</t>
  </si>
  <si>
    <t>GDM module fully implemented, not just future-ready</t>
  </si>
  <si>
    <t>Customer notifications/alerts (discrepancies, transfers, low stock)</t>
  </si>
  <si>
    <t>notifications</t>
  </si>
  <si>
    <t>NotificationSubscription report types: LOW_STOCK, TRANSFER_COMPLETED, INVENTORY_DISCREPANCY</t>
  </si>
  <si>
    <t>Official reports: balances, transaction logs, reconciliation diffs, audit findings</t>
  </si>
  <si>
    <t>reports</t>
  </si>
  <si>
    <t>reports/inventory-balance, /movements, /audit-logs, reconciliation/discrepancies</t>
  </si>
  <si>
    <t>Compliance &amp; audit requirements (data quality, auditability, strategic alignment)</t>
  </si>
  <si>
    <t>dashboard (Compliance) / reports</t>
  </si>
  <si>
    <t>Compliance Dashboard screen (Reporting Requirements Gap Analysis)</t>
  </si>
  <si>
    <t>User Access Matrix, Maker/Checker role-based access</t>
  </si>
  <si>
    <t>user_admin</t>
  </si>
  <si>
    <t>Full RBAC + 4-eyes Maker-Checker workflow engine</t>
  </si>
  <si>
    <t>2) General Operation</t>
  </si>
  <si>
    <t>Receipt of precious metals (suppliers or customers)</t>
  </si>
  <si>
    <t>intake</t>
  </si>
  <si>
    <t>Vault intake + customer receipt screens (Maker-Checker)</t>
  </si>
  <si>
    <t>Internal transfers (main vault &lt;-&gt; branches)</t>
  </si>
  <si>
    <t>purchase_orders (Transfers)</t>
  </si>
  <si>
    <t>BranchTransfer workflow, initiate/receive endpoints</t>
  </si>
  <si>
    <t>Customer transactions (sales, purchases, redemptions)</t>
  </si>
  <si>
    <t>custody</t>
  </si>
  <si>
    <t>CustomerHolding/RedemptionRequest/WithdrawalRequest flows</t>
  </si>
  <si>
    <t>Physical movement tracking (future GDM support)</t>
  </si>
  <si>
    <t>dispensing</t>
  </si>
  <si>
    <t>DispenseTransaction entity + workflow</t>
  </si>
  <si>
    <t>Automated reconciliation with GL and core banking systems</t>
  </si>
  <si>
    <t>reports (Reconciliation)</t>
  </si>
  <si>
    <t>IReconciliationService, POST /reconciliation/run, reports.write</t>
  </si>
  <si>
    <t>Managing exceptions for inconsistencies and variations</t>
  </si>
  <si>
    <t>reports (Exceptions) / MismatchCase</t>
  </si>
  <si>
    <t>GET /reports/exceptions, mismatch_cases quarantine workflow</t>
  </si>
  <si>
    <t>Document intake and supporting evidence per transaction</t>
  </si>
  <si>
    <t>DocumentUpload / ExtractedDocumentField entities</t>
  </si>
  <si>
    <t>Internal notes and return-for-correction cycles without data loss</t>
  </si>
  <si>
    <t>workflows</t>
  </si>
  <si>
    <t>Maker-Checker return-with-comments (ApprovalAction.Comments)</t>
  </si>
  <si>
    <t>3) Inventory Management</t>
  </si>
  <si>
    <t>Centralize inventory records + supporting docs in a secure repository</t>
  </si>
  <si>
    <t>intake / master_data</t>
  </si>
  <si>
    <t>Real-time balance updates on each transaction</t>
  </si>
  <si>
    <t>spatial_map / reports</t>
  </si>
  <si>
    <t>InventoryBalance recalculated + pushed via SignalR</t>
  </si>
  <si>
    <t>Role-based access for operations/branches/audit/IT-admin</t>
  </si>
  <si>
    <t>20-module RBAC catalog, HIDDEN/READ_ONLY/READ_WRITE/FULL</t>
  </si>
  <si>
    <t>Audit trails for all actions (user, timestamp, action)</t>
  </si>
  <si>
    <t>Support multiple units (grams, kilograms, ounces)</t>
  </si>
  <si>
    <t>master_data (Product Catalog)</t>
  </si>
  <si>
    <t>MetalDenomination.WeightGrams / WeightOunces</t>
  </si>
  <si>
    <t>Maintain stock levels per location</t>
  </si>
  <si>
    <t>spatial_map</t>
  </si>
  <si>
    <t>InventoryBalance per (location, product, ownership)</t>
  </si>
  <si>
    <t>3) Ownership Segmentation</t>
  </si>
  <si>
    <t>Differentiate KFH-owned vs. customer-owned gold</t>
  </si>
  <si>
    <t>OwnershipType on InventoryBalance/InventoryItem</t>
  </si>
  <si>
    <t>Link customer-owned gold to Core Banking accounts</t>
  </si>
  <si>
    <t>custody (Customer Accounts)</t>
  </si>
  <si>
    <t>CustomerAccount linkage</t>
  </si>
  <si>
    <t>Configurable segregation rules for compliance</t>
  </si>
  <si>
    <t>rules_engine</t>
  </si>
  <si>
    <t>Partial</t>
  </si>
  <si>
    <t>Generic predicate rule engine exists (TRANSFER_LIMIT/RECEIPT_VALIDATION/CUSTOMER_ELIGIBILITY); no dedicated ownership-segregation rule type yet</t>
  </si>
  <si>
    <t>3) Barcode/QR Code Tracking</t>
  </si>
  <si>
    <t>Assign unique barcode/QR code to each gold bar/package</t>
  </si>
  <si>
    <t>NEW: barcode_qr_labeling</t>
  </si>
  <si>
    <t>Gap</t>
  </si>
  <si>
    <t>Only text SerialNumber identity exists; no barcode/QR symbology generation</t>
  </si>
  <si>
    <t>Enable scanning at every movement point (receive/transfer/dispatch)</t>
  </si>
  <si>
    <t>NEW: barcode_qr_labeling (extends intake/dispensing)</t>
  </si>
  <si>
    <t>Serial numbers are captured via manual/simulated text entry at intake, transfer, stocktake, dispensing -- not true barcode/QR scan hardware</t>
  </si>
  <si>
    <t>Comply with GS1 and ISO/IEC 18004 standards</t>
  </si>
  <si>
    <t>No symbology/standard compliance implemented</t>
  </si>
  <si>
    <t>3) Cost Tracking &amp; Valuation</t>
  </si>
  <si>
    <t>Record purchase cost details (supplier, invoice, fees)</t>
  </si>
  <si>
    <t>purchase_orders</t>
  </si>
  <si>
    <t>PurchaseOrder/POItem cost fields</t>
  </si>
  <si>
    <t>Calculate inventory valuation using Average Cost Method</t>
  </si>
  <si>
    <t>reports (Valuation)</t>
  </si>
  <si>
    <t>GET /reports/valuation?method=AVERAGE</t>
  </si>
  <si>
    <t>Support alternative methods (FIFO, LIFO)</t>
  </si>
  <si>
    <t>Same endpoint, method=FIFO|LIFO fully implemented</t>
  </si>
  <si>
    <t>Integration with Core Banking System for ledger updates</t>
  </si>
  <si>
    <t>reports (GL Postings)</t>
  </si>
  <si>
    <t>CoreBankingLedgerPosting</t>
  </si>
  <si>
    <t>4) Workflow &amp; SLA Management</t>
  </si>
  <si>
    <t>Role-based task queues per stage (receipt/transfer/reconciliation/exception) with maker/checker</t>
  </si>
  <si>
    <t>pending_actions / workflows</t>
  </si>
  <si>
    <t>Automated notifications/reminders for pending actions, discrepancies, approvals</t>
  </si>
  <si>
    <t>Status tracking with escalation paths for delayed/unresolved items</t>
  </si>
  <si>
    <t>monitoring (SLA Metrics &amp; Alert Routing)</t>
  </si>
  <si>
    <t>GET /monitoring/sla-metrics, /alert-routes</t>
  </si>
  <si>
    <t>Return-with-comments at any review stage</t>
  </si>
  <si>
    <t>5) Integration &amp; Data Exchange</t>
  </si>
  <si>
    <t>Integrate with core banking/GL (IMAL, GFS)</t>
  </si>
  <si>
    <t>Secure document upload and data validation at intake</t>
  </si>
  <si>
    <t>Multi-platform access (web, internal systems) for all users</t>
  </si>
  <si>
    <t>General Technical (Web SPA)</t>
  </si>
  <si>
    <t>Web SPA covered; no dedicated native/mobile client -- see Portability gap</t>
  </si>
  <si>
    <t>Future integration with precious metal dispensing machines</t>
  </si>
  <si>
    <t>Already live, exceeds 'future' requirement</t>
  </si>
  <si>
    <t>Integration with LBMA price feeds for real-time valuation</t>
  </si>
  <si>
    <t>reports (LBMA) / IRateFeedService</t>
  </si>
  <si>
    <t>Mock rate feed + LBMA Good Delivery compliance report</t>
  </si>
  <si>
    <t>Integration with Active Directory</t>
  </si>
  <si>
    <t>user_admin (Authentication)</t>
  </si>
  <si>
    <t>IActiveDirectoryService (mock), JWT issuance</t>
  </si>
  <si>
    <t>6) MIS &amp; Reporting</t>
  </si>
  <si>
    <t>Inventory balances by location/metal type, with automatic email to management</t>
  </si>
  <si>
    <t>notifications + reports</t>
  </si>
  <si>
    <t>INVENTORY_BALANCE scheduled subscription type</t>
  </si>
  <si>
    <t>Transaction logs and movement histories</t>
  </si>
  <si>
    <t>reports (Movements)</t>
  </si>
  <si>
    <t>Reconciliation differences and audit findings</t>
  </si>
  <si>
    <t>KPIs for efficiency, error rates, transaction volumes</t>
  </si>
  <si>
    <t>reports (KPIs)</t>
  </si>
  <si>
    <t>GET /reports/kpis</t>
  </si>
  <si>
    <t>Exceptions report</t>
  </si>
  <si>
    <t>reports (Exceptions)</t>
  </si>
  <si>
    <t>Operational dashboards for management and audit/compliance</t>
  </si>
  <si>
    <t>dashboard</t>
  </si>
  <si>
    <t>Complete review history for auditability and oversight</t>
  </si>
  <si>
    <t>Cost analysis and variance reports</t>
  </si>
  <si>
    <t>reports (Cost Analysis/Variance)</t>
  </si>
  <si>
    <t>GET /reports/cost-analysis, /cost-variance, CostBudget entity</t>
  </si>
  <si>
    <t>Daily/weekly/monthly movement reports by location and ownership</t>
  </si>
  <si>
    <t>Position summary for KFH and customers</t>
  </si>
  <si>
    <t>reports (Valuation/Holdings)</t>
  </si>
  <si>
    <t>7) General Technical</t>
  </si>
  <si>
    <t>Secure, scalable architecture, multi-user/multi-location</t>
  </si>
  <si>
    <t>Non-Functional / Architecture</t>
  </si>
  <si>
    <t>Documented</t>
  </si>
  <si>
    <t>ARCHITECTURE.md Clean Architecture + HA/DR design (Section 8)</t>
  </si>
  <si>
    <t>Role-based access control for all user groups</t>
  </si>
  <si>
    <t>Secure notifications and system alerts as part of operational flow</t>
  </si>
  <si>
    <t>notifications / monitoring</t>
  </si>
  <si>
    <t>Availability/usability; intuitive consolidated screens per role</t>
  </si>
  <si>
    <t>General Technical (UI)</t>
  </si>
  <si>
    <t>Role-tiered sidebar (Operations vs Administration &amp; Setup), bilingual EN/AR</t>
  </si>
  <si>
    <t>8-14) Vendor Deliverables</t>
  </si>
  <si>
    <t>Business Requirements Document (BRD)</t>
  </si>
  <si>
    <t>NEW/Non-Module: Project Deliverables</t>
  </si>
  <si>
    <t>Process/document artifact -- not produced or stored by the app</t>
  </si>
  <si>
    <t>Business Cases per KFH template (post-BRD)</t>
  </si>
  <si>
    <t>Quality Assurance (QA) Document after testing</t>
  </si>
  <si>
    <t>UAT support: test cases, defect tracking, resolution</t>
  </si>
  <si>
    <t>No defect-tracking module exists in-app</t>
  </si>
  <si>
    <t>Training Materials and User Guides</t>
  </si>
  <si>
    <t>Go-Live Support document</t>
  </si>
  <si>
    <t>Compliance and Security Documentation</t>
  </si>
  <si>
    <t>Live Compliance Dashboard exists in-app; standalone documentation artifact is separate</t>
  </si>
  <si>
    <t>2.2.1 Enterprise Architecture</t>
  </si>
  <si>
    <t>KFH Active Directory as standard auth for staff/admin users</t>
  </si>
  <si>
    <t>Separate customer authentication module, KFH-security compliant</t>
  </si>
  <si>
    <t>NEW: customer_portal</t>
  </si>
  <si>
    <t>No customer-facing self-service login/portal exists; app is 100% staff-facing today</t>
  </si>
  <si>
    <t>Enterprise BI (SAP BusinessObjects) / data warehouse extraction</t>
  </si>
  <si>
    <t>NEW: bi_integration</t>
  </si>
  <si>
    <t>No BI/data-warehouse export feature</t>
  </si>
  <si>
    <t>Latest stable component versions + EOL info + roadmap</t>
  </si>
  <si>
    <t>.NET 10 / current React-Vite in use (Covered); EOL/roadmap documentation itself is a vendor deliverable (Gap)</t>
  </si>
  <si>
    <t>Admin console web-enabled, cross-browser compatible</t>
  </si>
  <si>
    <t>Standard React SPA, no browser-specific code</t>
  </si>
  <si>
    <t>Mobile app for latest Android phones, backward compatible</t>
  </si>
  <si>
    <t>NEW: mobile_app</t>
  </si>
  <si>
    <t>No native mobile application in repository</t>
  </si>
  <si>
    <t>Multiple-tier solution deployment</t>
  </si>
  <si>
    <t>WebAPI / Application / Infrastructure / Domain layering</t>
  </si>
  <si>
    <t>2.2.2 Enterprise Data Architecture</t>
  </si>
  <si>
    <t>Data Dictionary deliverable (Excel format, full metadata)</t>
  </si>
  <si>
    <t>ARCHITECTURE.md has a partial in-doc data dictionary; no standalone Excel deliverable in vendor format</t>
  </si>
  <si>
    <t>Data Model deliverable (Erwin 9.x compatible)</t>
  </si>
  <si>
    <t>database/schema.sql is the physical DDL; no Erwin logical/physical model export</t>
  </si>
  <si>
    <t>2.2.3 General Software Product</t>
  </si>
  <si>
    <t>Latest/stable software versions</t>
  </si>
  <si>
    <t>.NET 10, current Vite/React</t>
  </si>
  <si>
    <t>KFH customizations proprietary, source handed over</t>
  </si>
  <si>
    <t>N/A</t>
  </si>
  <si>
    <t>Contractual term, not a system feature</t>
  </si>
  <si>
    <t>3-year product roadmap included</t>
  </si>
  <si>
    <t>Required hardware &amp; software documented</t>
  </si>
  <si>
    <t>Robust, configurable development platform</t>
  </si>
  <si>
    <t>Clean Architecture modular monolith</t>
  </si>
  <si>
    <t>Localization in all presentation layers</t>
  </si>
  <si>
    <t>Bilingual EN/AR t() translation layer, RTL support</t>
  </si>
  <si>
    <t>Packaging module for install/upgrade/configure/remove</t>
  </si>
  <si>
    <t>Non-Functional / Infrastructure</t>
  </si>
  <si>
    <t>No installer/packaging automation in repo</t>
  </si>
  <si>
    <t>Dynamic business validation rules customization</t>
  </si>
  <si>
    <t>Append-only versioned predicate-tree rules</t>
  </si>
  <si>
    <t>Reporting module for regular and top management users</t>
  </si>
  <si>
    <t>reports / dashboard</t>
  </si>
  <si>
    <t>All vulnerability problems covered</t>
  </si>
  <si>
    <t>Non-Functional / Security</t>
  </si>
  <si>
    <t>JWT auth, BCrypt password hashing, RBAC in place; no formal pen-test/vuln-scan evidence in repo</t>
  </si>
  <si>
    <t>Web application hosted over HTTPS</t>
  </si>
  <si>
    <t>Program.cs UseHttpsRedirection</t>
  </si>
  <si>
    <t>Audit trail/logs available to admins and support team</t>
  </si>
  <si>
    <t>Login/activity audit trail, searchable and exportable</t>
  </si>
  <si>
    <t>reports (Audit Search/Export)</t>
  </si>
  <si>
    <t>GET /reports/audit-logs/search, /export</t>
  </si>
  <si>
    <t>High availability for Production &amp; DR environments</t>
  </si>
  <si>
    <t>ARCHITECTURE.md Section 8: AlwaysOn AGs, WSFC failover</t>
  </si>
  <si>
    <t>Integration/high-availability across all components</t>
  </si>
  <si>
    <t>Services monitored via KFH existing monitoring tool, SLA alerts</t>
  </si>
  <si>
    <t>monitoring</t>
  </si>
  <si>
    <t>IMonitoringAdapter, alert-route configuration</t>
  </si>
  <si>
    <t>2.2.4 Deployment Options</t>
  </si>
  <si>
    <t>Cloud / Hybrid / On-Premises deployment options</t>
  </si>
  <si>
    <t>Not addressed in repo -- a vendor proposal/infra decision</t>
  </si>
  <si>
    <t>2.2.5 Environments</t>
  </si>
  <si>
    <t>Production, DR, Stage, UAT, Development environments</t>
  </si>
  <si>
    <t>Local Dev + SQLite fallback documented; Prod/DR/Stage/UAT environment setup not defined in repo</t>
  </si>
  <si>
    <t>2.2.6 Databases &amp; Data Sources</t>
  </si>
  <si>
    <t>Relational database</t>
  </si>
  <si>
    <t>SQL Server (prod) / SQLite (dev)</t>
  </si>
  <si>
    <t>Avoid inline queries; use stored procedures/functions</t>
  </si>
  <si>
    <t>EF Core LINQ used broadly; stored-proc emulation only for select paths (database/procedures.sql / FIM sp_FIM_*)</t>
  </si>
  <si>
    <t>Database backup and recovery plan</t>
  </si>
  <si>
    <t>Not documented in repo</t>
  </si>
  <si>
    <t>Detailed data dictionary and mapping for the database</t>
  </si>
  <si>
    <t>Partial in-doc dictionary only (ARCHITECTURE.md)</t>
  </si>
  <si>
    <t>Logical, physical and conceptual data models</t>
  </si>
  <si>
    <t>Physical DDL exists (database/schema.sql); no logical/conceptual Erwin model</t>
  </si>
  <si>
    <t>2.2.7 Transactions &amp; Logs</t>
  </si>
  <si>
    <t>Audit Trail and Activities Log</t>
  </si>
  <si>
    <t>Centralized logging location</t>
  </si>
  <si>
    <t>DB-backed audit_logs is centralized; no separate app/infra log aggregation (ELK/etc.) documented</t>
  </si>
  <si>
    <t>Encrypt sensitive data using TDE mechanism</t>
  </si>
  <si>
    <t>No TDE / column-level encryption configuration found</t>
  </si>
  <si>
    <t>Clear, comprehensive exception/error/info logging &amp; handling</t>
  </si>
  <si>
    <t>Try/catch with structured error responses exists; no dedicated structured-logging framework evident</t>
  </si>
  <si>
    <t>Auto-clear historical logs/temp data (garbage collection)</t>
  </si>
  <si>
    <t>No log-retention/purge job found</t>
  </si>
  <si>
    <t>2.2.8 Performance &amp; HA</t>
  </si>
  <si>
    <t>Solution clustering (all nodes as one clustered environment)</t>
  </si>
  <si>
    <t>ARCHITECTURE.md Section 8 design target</t>
  </si>
  <si>
    <t>Automatic takeover if app/DB node goes out of service</t>
  </si>
  <si>
    <t>Reliable failover and disaster recovery configuration</t>
  </si>
  <si>
    <t>2.2.9 Portability</t>
  </si>
  <si>
    <t>Latest client devices incl. Android smartphones with NFC readers (client-side)</t>
  </si>
  <si>
    <t>No native/Android client; NFC not implemented</t>
  </si>
  <si>
    <t>2.2.10 Interface Requirements</t>
  </si>
  <si>
    <t>UI complies with KFH theme and international standards</t>
  </si>
  <si>
    <t>Custom KFH-themed styling</t>
  </si>
  <si>
    <t>Integration via KFH Integration Middleware (Web Services)</t>
  </si>
  <si>
    <t>Non-Functional / Integration</t>
  </si>
  <si>
    <t>App exposes direct REST endpoints; no dedicated ESB/middleware adapter layer</t>
  </si>
  <si>
    <t>Vendor identifies required KFH integration services upfront</t>
  </si>
  <si>
    <t>Planning/process item</t>
  </si>
  <si>
    <t>2.2.11 FIM Integration</t>
  </si>
  <si>
    <t>Identity Provisioning integration + ~19 required functions (Get/Add/Update/Remove Users &amp; Profiles)</t>
  </si>
  <si>
    <t>user_admin (FIM Integration Module)</t>
  </si>
  <si>
    <t>All functions implemented; see docs/FIM_INTEGRATION.md Section 3</t>
  </si>
  <si>
    <t>Access Management (Rights) integration + 9 required functions</t>
  </si>
  <si>
    <t>GetAllRights..RemoveUserFromRight, all implemented</t>
  </si>
  <si>
    <t>Password Management: Set Password with pluggable encryption algorithm</t>
  </si>
  <si>
    <t>BCrypt (default) or AES-256, PasswordHasher.cs</t>
  </si>
  <si>
    <t>Connectivity support: Database / Web Service / SDK-CLI, IIS7-compatible, delta change detection</t>
  </si>
  <si>
    <t>sp_FIM_* procs, REST API, fim-cli, GET /fim/sync/delta</t>
  </si>
  <si>
    <t>Category / Module Key</t>
  </si>
  <si>
    <t>Type</t>
  </si>
  <si>
    <t>Description</t>
  </si>
  <si>
    <t>Status</t>
  </si>
  <si>
    <t>RFP Sections It Answers</t>
  </si>
  <si>
    <t>Existing (Operational)</t>
  </si>
  <si>
    <t>Executive dashboard, compliance dashboard</t>
  </si>
  <si>
    <t>Existing</t>
  </si>
  <si>
    <t>1, 6, 7</t>
  </si>
  <si>
    <t>pending_actions</t>
  </si>
  <si>
    <t>"My pending actions" workflow queue</t>
  </si>
  <si>
    <t>4</t>
  </si>
  <si>
    <t>P.O. / procurement, branch transfers</t>
  </si>
  <si>
    <t>2, 3, 5</t>
  </si>
  <si>
    <t>Vault spatial map view (zones/shelves/slots)</t>
  </si>
  <si>
    <t>3</t>
  </si>
  <si>
    <t>Customer custody holdings, ownership segmentation</t>
  </si>
  <si>
    <t>stocktake</t>
  </si>
  <si>
    <t>Stocktake sessions &amp; scans</t>
  </si>
  <si>
    <t>2</t>
  </si>
  <si>
    <t>Reporting, valuation, reconciliation, audit, GL postings, LBMA/IFRS</t>
  </si>
  <si>
    <t>1,2,3,5,6,7,2.2.3,2.2.6,2.2.7</t>
  </si>
  <si>
    <t>Act on workflow instances (approve/reject/return)</t>
  </si>
  <si>
    <t>2, 4</t>
  </si>
  <si>
    <t>Receive shipments / customer receipts, document intake</t>
  </si>
  <si>
    <t>GDM dispense transactions</t>
  </si>
  <si>
    <t>1, 2, 5</t>
  </si>
  <si>
    <t>vault_location</t>
  </si>
  <si>
    <t>Existing (Administrative)</t>
  </si>
  <si>
    <t>Create/update/delete shelf locations</t>
  </si>
  <si>
    <t>workflow_design</t>
  </si>
  <si>
    <t>Author workflow templates</t>
  </si>
  <si>
    <t>master_data</t>
  </si>
  <si>
    <t>Branches, vendors, products, reorder thresholds</t>
  </si>
  <si>
    <t>migration</t>
  </si>
  <si>
    <t>Bulk Excel ingestion</t>
  </si>
  <si>
    <t>1</t>
  </si>
  <si>
    <t>settings</t>
  </si>
  <si>
    <t>System settings screen</t>
  </si>
  <si>
    <t>7</t>
  </si>
  <si>
    <t>Users, groups, permissions, FIM provisioning/rights/password mgmt</t>
  </si>
  <si>
    <t>1,3,5,7,2.2.1,2.2.11</t>
  </si>
  <si>
    <t>Dynamic business validation rules (versioned)</t>
  </si>
  <si>
    <t>3, 2.2.3</t>
  </si>
  <si>
    <t>Management email distribution lists &amp; schedules</t>
  </si>
  <si>
    <t>1, 4, 6</t>
  </si>
  <si>
    <t>KFH monitoring-tool alert routing, SLA metrics</t>
  </si>
  <si>
    <t>4, 2.2.3</t>
  </si>
  <si>
    <t>device_integration</t>
  </si>
  <si>
    <t>Register/decommission GDM machines</t>
  </si>
  <si>
    <t>1, 5</t>
  </si>
  <si>
    <t>Proposed New (Operational)</t>
  </si>
  <si>
    <t>Customer-facing self-service authentication &amp; portal, separate from staff AD login</t>
  </si>
  <si>
    <t>2.2.1</t>
  </si>
  <si>
    <t>Generate/print GS1 + ISO/IEC 18004 compliant barcode/QR labels; scan at every movement point</t>
  </si>
  <si>
    <t>Gap / Partial</t>
  </si>
  <si>
    <t>3 (Barcode/QR Code Tracking)</t>
  </si>
  <si>
    <t>Native Android mobile app with NFC reader support</t>
  </si>
  <si>
    <t>2.2.1, 2.2.9</t>
  </si>
  <si>
    <t>Proposed New (Administrative)</t>
  </si>
  <si>
    <t>Enterprise BI / SAP BusinessObjects / data-warehouse extraction feed</t>
  </si>
  <si>
    <t>Classification bucket (not a permission module)</t>
  </si>
  <si>
    <t>Vendor process/document artifacts: BRD, Business Cases, QA doc, UAT support, Training materials, Go-Live support, Data Dictionary/Erwin model, roadmap, HW/SW specs</t>
  </si>
  <si>
    <t>8-14,2.2.1,2.2.2,2.2.3,2.2.6,2.2.10</t>
  </si>
  <si>
    <t>Non-Functional / Infrastructure / Architecture</t>
  </si>
  <si>
    <t>Deployment options, environments, DB ops, HA/clustering, logging infra, TDE, middleware -- architectural/ops decisions, not app features</t>
  </si>
  <si>
    <t>Documented / Partial / Gap</t>
  </si>
  <si>
    <t>7,2.2.3,2.2.4,2.2.5,2.2.6,2.2.7,2.2.8,2.2.10</t>
  </si>
  <si>
    <t>PMIMS vs. KFH RFP -- Coverage Summary</t>
  </si>
  <si>
    <t>Coverage status counts (Traceability Matrix, all rows)</t>
  </si>
  <si>
    <t>Count</t>
  </si>
  <si>
    <t>Total requirement rows</t>
  </si>
  <si>
    <t>Proposed NEW functional categories (real, buildable app modules):</t>
  </si>
  <si>
    <t xml:space="preserve">  1. customer_portal        - Customer-facing self-service authentication &amp; portal (RFP 2.2.1)</t>
  </si>
  <si>
    <t xml:space="preserve">  2. barcode_qr_labeling     - GS1 / ISO-IEC 18004 barcode &amp; QR generation + scan tracking (RFP Sec 3)</t>
  </si>
  <si>
    <t xml:space="preserve">  3. mobile_app              - Native Android app with NFC reader support (RFP 2.2.1, 2.2.9)</t>
  </si>
  <si>
    <t xml:space="preserve">  4. bi_integration          - Enterprise BI / SAP BusinessObjects / data warehouse extraction (RFP 2.2.1)</t>
  </si>
  <si>
    <t>Two additional buckets are used purely for classification (they are NOT candidate RBAC modules):</t>
  </si>
  <si>
    <t xml:space="preserve">  - Project Deliverables       - vendor process/document artifacts (BRD, QA doc, UAT, training, Erwin model, etc.)</t>
  </si>
  <si>
    <t xml:space="preserve">  - Non-Functional / Infrastructure - deployment, environments, HA, DB ops, logging infra, middleware</t>
  </si>
  <si>
    <t>These describe delivery process and hosting architecture, not user-facing system functions, so they</t>
  </si>
  <si>
    <t>are filed separately rather than forced into the module/permission architecture.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</si>
</sst>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F4E3D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E7E6E6"/>
      </patternFill>
    </fill>
    <fill>
      <patternFill patternType="solid">
        <fgColor rgb="FFFFC7CE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5" fillId="0" borderId="0" xfId="0" applyFont="1"/>
    <xf numFmtId="0" fontId="1" fillId="2" borderId="0" xfId="0" applyFont="1" applyFill="1"/>
    <xf numFmtId="0" fontId="2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4"/>
  <sheetViews>
    <sheetView zoomScaleNormal="100" workbookViewId="0">
      <pane ySplit="1" topLeftCell="A28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24" customWidth="1"/>
    <col min="3" max="3" width="46" customWidth="1"/>
    <col min="4" max="4" width="30" customWidth="1"/>
    <col min="5" max="5" width="14" customWidth="1"/>
    <col min="6" max="6" width="55" customWidth="1"/>
  </cols>
  <sheetData>
    <row r="1" spans="1:6" ht="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5" hidden="1" x14ac:dyDescent="0.35">
      <c r="A2" s="3">
        <v>1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spans="1:6" ht="25" hidden="1" x14ac:dyDescent="0.35">
      <c r="A3" s="3">
        <v>2</v>
      </c>
      <c r="B3" s="3" t="s">
        <v>6</v>
      </c>
      <c r="C3" s="3" t="s">
        <v>11</v>
      </c>
      <c r="D3" s="3" t="s">
        <v>12</v>
      </c>
      <c r="E3" s="4" t="s">
        <v>9</v>
      </c>
      <c r="F3" s="3" t="s">
        <v>13</v>
      </c>
    </row>
    <row r="4" spans="1:6" ht="25" hidden="1" x14ac:dyDescent="0.35">
      <c r="A4" s="3">
        <v>3</v>
      </c>
      <c r="B4" s="3" t="s">
        <v>6</v>
      </c>
      <c r="C4" s="3" t="s">
        <v>14</v>
      </c>
      <c r="D4" s="3" t="s">
        <v>15</v>
      </c>
      <c r="E4" s="4" t="s">
        <v>9</v>
      </c>
      <c r="F4" s="3" t="s">
        <v>16</v>
      </c>
    </row>
    <row r="5" spans="1:6" ht="25" hidden="1" x14ac:dyDescent="0.35">
      <c r="A5" s="3">
        <v>4</v>
      </c>
      <c r="B5" s="3" t="s">
        <v>6</v>
      </c>
      <c r="C5" s="3" t="s">
        <v>17</v>
      </c>
      <c r="D5" s="3" t="s">
        <v>18</v>
      </c>
      <c r="E5" s="4" t="s">
        <v>9</v>
      </c>
      <c r="F5" s="3" t="s">
        <v>19</v>
      </c>
    </row>
    <row r="6" spans="1:6" ht="25" hidden="1" x14ac:dyDescent="0.35">
      <c r="A6" s="3">
        <v>5</v>
      </c>
      <c r="B6" s="3" t="s">
        <v>6</v>
      </c>
      <c r="C6" s="3" t="s">
        <v>20</v>
      </c>
      <c r="D6" s="3" t="s">
        <v>21</v>
      </c>
      <c r="E6" s="4" t="s">
        <v>9</v>
      </c>
      <c r="F6" s="3" t="s">
        <v>22</v>
      </c>
    </row>
    <row r="7" spans="1:6" ht="25" hidden="1" x14ac:dyDescent="0.35">
      <c r="A7" s="3">
        <v>6</v>
      </c>
      <c r="B7" s="3" t="s">
        <v>6</v>
      </c>
      <c r="C7" s="3" t="s">
        <v>23</v>
      </c>
      <c r="D7" s="3" t="s">
        <v>24</v>
      </c>
      <c r="E7" s="4" t="s">
        <v>9</v>
      </c>
      <c r="F7" s="3" t="s">
        <v>25</v>
      </c>
    </row>
    <row r="8" spans="1:6" ht="25" hidden="1" x14ac:dyDescent="0.35">
      <c r="A8" s="3">
        <v>7</v>
      </c>
      <c r="B8" s="3" t="s">
        <v>6</v>
      </c>
      <c r="C8" s="3" t="s">
        <v>26</v>
      </c>
      <c r="D8" s="3" t="s">
        <v>27</v>
      </c>
      <c r="E8" s="4" t="s">
        <v>9</v>
      </c>
      <c r="F8" s="3" t="s">
        <v>28</v>
      </c>
    </row>
    <row r="9" spans="1:6" ht="25" hidden="1" x14ac:dyDescent="0.35">
      <c r="A9" s="3">
        <v>8</v>
      </c>
      <c r="B9" s="3" t="s">
        <v>6</v>
      </c>
      <c r="C9" s="3" t="s">
        <v>29</v>
      </c>
      <c r="D9" s="3" t="s">
        <v>30</v>
      </c>
      <c r="E9" s="4" t="s">
        <v>9</v>
      </c>
      <c r="F9" s="3" t="s">
        <v>31</v>
      </c>
    </row>
    <row r="10" spans="1:6" ht="25" hidden="1" x14ac:dyDescent="0.35">
      <c r="A10" s="3">
        <v>9</v>
      </c>
      <c r="B10" s="3" t="s">
        <v>6</v>
      </c>
      <c r="C10" s="3" t="s">
        <v>32</v>
      </c>
      <c r="D10" s="3" t="s">
        <v>33</v>
      </c>
      <c r="E10" s="4" t="s">
        <v>9</v>
      </c>
      <c r="F10" s="3" t="s">
        <v>34</v>
      </c>
    </row>
    <row r="11" spans="1:6" hidden="1" x14ac:dyDescent="0.35">
      <c r="A11" s="3">
        <v>10</v>
      </c>
      <c r="B11" s="3" t="s">
        <v>6</v>
      </c>
      <c r="C11" s="3" t="s">
        <v>35</v>
      </c>
      <c r="D11" s="3" t="s">
        <v>36</v>
      </c>
      <c r="E11" s="4" t="s">
        <v>9</v>
      </c>
      <c r="F11" s="3" t="s">
        <v>37</v>
      </c>
    </row>
    <row r="12" spans="1:6" hidden="1" x14ac:dyDescent="0.35">
      <c r="A12" s="3">
        <v>11</v>
      </c>
      <c r="B12" s="3" t="s">
        <v>38</v>
      </c>
      <c r="C12" s="3" t="s">
        <v>39</v>
      </c>
      <c r="D12" s="3" t="s">
        <v>40</v>
      </c>
      <c r="E12" s="4" t="s">
        <v>9</v>
      </c>
      <c r="F12" s="3" t="s">
        <v>41</v>
      </c>
    </row>
    <row r="13" spans="1:6" hidden="1" x14ac:dyDescent="0.35">
      <c r="A13" s="3">
        <v>12</v>
      </c>
      <c r="B13" s="3" t="s">
        <v>38</v>
      </c>
      <c r="C13" s="3" t="s">
        <v>42</v>
      </c>
      <c r="D13" s="3" t="s">
        <v>43</v>
      </c>
      <c r="E13" s="4" t="s">
        <v>9</v>
      </c>
      <c r="F13" s="3" t="s">
        <v>44</v>
      </c>
    </row>
    <row r="14" spans="1:6" hidden="1" x14ac:dyDescent="0.35">
      <c r="A14" s="3">
        <v>13</v>
      </c>
      <c r="B14" s="3" t="s">
        <v>38</v>
      </c>
      <c r="C14" s="3" t="s">
        <v>45</v>
      </c>
      <c r="D14" s="3" t="s">
        <v>46</v>
      </c>
      <c r="E14" s="4" t="s">
        <v>9</v>
      </c>
      <c r="F14" s="3" t="s">
        <v>47</v>
      </c>
    </row>
    <row r="15" spans="1:6" hidden="1" x14ac:dyDescent="0.35">
      <c r="A15" s="3">
        <v>14</v>
      </c>
      <c r="B15" s="3" t="s">
        <v>38</v>
      </c>
      <c r="C15" s="3" t="s">
        <v>48</v>
      </c>
      <c r="D15" s="3" t="s">
        <v>49</v>
      </c>
      <c r="E15" s="4" t="s">
        <v>9</v>
      </c>
      <c r="F15" s="3" t="s">
        <v>50</v>
      </c>
    </row>
    <row r="16" spans="1:6" ht="25" hidden="1" x14ac:dyDescent="0.35">
      <c r="A16" s="3">
        <v>15</v>
      </c>
      <c r="B16" s="3" t="s">
        <v>38</v>
      </c>
      <c r="C16" s="3" t="s">
        <v>51</v>
      </c>
      <c r="D16" s="3" t="s">
        <v>52</v>
      </c>
      <c r="E16" s="4" t="s">
        <v>9</v>
      </c>
      <c r="F16" s="3" t="s">
        <v>53</v>
      </c>
    </row>
    <row r="17" spans="1:6" ht="25" hidden="1" x14ac:dyDescent="0.35">
      <c r="A17" s="3">
        <v>16</v>
      </c>
      <c r="B17" s="3" t="s">
        <v>38</v>
      </c>
      <c r="C17" s="3" t="s">
        <v>54</v>
      </c>
      <c r="D17" s="3" t="s">
        <v>55</v>
      </c>
      <c r="E17" s="4" t="s">
        <v>9</v>
      </c>
      <c r="F17" s="3" t="s">
        <v>56</v>
      </c>
    </row>
    <row r="18" spans="1:6" ht="25" hidden="1" x14ac:dyDescent="0.35">
      <c r="A18" s="3">
        <v>17</v>
      </c>
      <c r="B18" s="3" t="s">
        <v>38</v>
      </c>
      <c r="C18" s="3" t="s">
        <v>57</v>
      </c>
      <c r="D18" s="3" t="s">
        <v>40</v>
      </c>
      <c r="E18" s="4" t="s">
        <v>9</v>
      </c>
      <c r="F18" s="3" t="s">
        <v>58</v>
      </c>
    </row>
    <row r="19" spans="1:6" ht="25" hidden="1" x14ac:dyDescent="0.35">
      <c r="A19" s="3">
        <v>18</v>
      </c>
      <c r="B19" s="3" t="s">
        <v>38</v>
      </c>
      <c r="C19" s="3" t="s">
        <v>59</v>
      </c>
      <c r="D19" s="3" t="s">
        <v>60</v>
      </c>
      <c r="E19" s="4" t="s">
        <v>9</v>
      </c>
      <c r="F19" s="3" t="s">
        <v>61</v>
      </c>
    </row>
    <row r="20" spans="1:6" ht="25" hidden="1" x14ac:dyDescent="0.35">
      <c r="A20" s="3">
        <v>19</v>
      </c>
      <c r="B20" s="3" t="s">
        <v>62</v>
      </c>
      <c r="C20" s="3" t="s">
        <v>63</v>
      </c>
      <c r="D20" s="3" t="s">
        <v>64</v>
      </c>
      <c r="E20" s="4" t="s">
        <v>9</v>
      </c>
      <c r="F20" s="3"/>
    </row>
    <row r="21" spans="1:6" hidden="1" x14ac:dyDescent="0.35">
      <c r="A21" s="3">
        <v>20</v>
      </c>
      <c r="B21" s="3" t="s">
        <v>62</v>
      </c>
      <c r="C21" s="3" t="s">
        <v>65</v>
      </c>
      <c r="D21" s="3" t="s">
        <v>66</v>
      </c>
      <c r="E21" s="4" t="s">
        <v>9</v>
      </c>
      <c r="F21" s="3" t="s">
        <v>67</v>
      </c>
    </row>
    <row r="22" spans="1:6" ht="25" hidden="1" x14ac:dyDescent="0.35">
      <c r="A22" s="3">
        <v>21</v>
      </c>
      <c r="B22" s="3" t="s">
        <v>62</v>
      </c>
      <c r="C22" s="3" t="s">
        <v>68</v>
      </c>
      <c r="D22" s="3" t="s">
        <v>36</v>
      </c>
      <c r="E22" s="4" t="s">
        <v>9</v>
      </c>
      <c r="F22" s="3" t="s">
        <v>69</v>
      </c>
    </row>
    <row r="23" spans="1:6" hidden="1" x14ac:dyDescent="0.35">
      <c r="A23" s="3">
        <v>22</v>
      </c>
      <c r="B23" s="3" t="s">
        <v>62</v>
      </c>
      <c r="C23" s="3" t="s">
        <v>70</v>
      </c>
      <c r="D23" s="3" t="s">
        <v>18</v>
      </c>
      <c r="E23" s="4" t="s">
        <v>9</v>
      </c>
      <c r="F23" s="3"/>
    </row>
    <row r="24" spans="1:6" hidden="1" x14ac:dyDescent="0.35">
      <c r="A24" s="3">
        <v>23</v>
      </c>
      <c r="B24" s="3" t="s">
        <v>62</v>
      </c>
      <c r="C24" s="3" t="s">
        <v>71</v>
      </c>
      <c r="D24" s="3" t="s">
        <v>72</v>
      </c>
      <c r="E24" s="4" t="s">
        <v>9</v>
      </c>
      <c r="F24" s="3" t="s">
        <v>73</v>
      </c>
    </row>
    <row r="25" spans="1:6" hidden="1" x14ac:dyDescent="0.35">
      <c r="A25" s="3">
        <v>24</v>
      </c>
      <c r="B25" s="3" t="s">
        <v>62</v>
      </c>
      <c r="C25" s="3" t="s">
        <v>74</v>
      </c>
      <c r="D25" s="3" t="s">
        <v>75</v>
      </c>
      <c r="E25" s="4" t="s">
        <v>9</v>
      </c>
      <c r="F25" s="3" t="s">
        <v>76</v>
      </c>
    </row>
    <row r="26" spans="1:6" hidden="1" x14ac:dyDescent="0.35">
      <c r="A26" s="3">
        <v>25</v>
      </c>
      <c r="B26" s="3" t="s">
        <v>77</v>
      </c>
      <c r="C26" s="3" t="s">
        <v>78</v>
      </c>
      <c r="D26" s="3" t="s">
        <v>46</v>
      </c>
      <c r="E26" s="4" t="s">
        <v>9</v>
      </c>
      <c r="F26" s="3" t="s">
        <v>79</v>
      </c>
    </row>
    <row r="27" spans="1:6" hidden="1" x14ac:dyDescent="0.35">
      <c r="A27" s="3">
        <v>26</v>
      </c>
      <c r="B27" s="3" t="s">
        <v>77</v>
      </c>
      <c r="C27" s="3" t="s">
        <v>80</v>
      </c>
      <c r="D27" s="3" t="s">
        <v>81</v>
      </c>
      <c r="E27" s="4" t="s">
        <v>9</v>
      </c>
      <c r="F27" s="3" t="s">
        <v>82</v>
      </c>
    </row>
    <row r="28" spans="1:6" ht="37.5" x14ac:dyDescent="0.35">
      <c r="A28" s="3">
        <v>27</v>
      </c>
      <c r="B28" s="3" t="s">
        <v>77</v>
      </c>
      <c r="C28" s="3" t="s">
        <v>83</v>
      </c>
      <c r="D28" s="3" t="s">
        <v>84</v>
      </c>
      <c r="E28" s="5" t="s">
        <v>85</v>
      </c>
      <c r="F28" s="3" t="s">
        <v>86</v>
      </c>
    </row>
    <row r="29" spans="1:6" ht="25" x14ac:dyDescent="0.35">
      <c r="A29" s="3">
        <v>28</v>
      </c>
      <c r="B29" s="3" t="s">
        <v>87</v>
      </c>
      <c r="C29" s="3" t="s">
        <v>88</v>
      </c>
      <c r="D29" s="3" t="s">
        <v>89</v>
      </c>
      <c r="E29" s="6" t="s">
        <v>90</v>
      </c>
      <c r="F29" s="3" t="s">
        <v>91</v>
      </c>
    </row>
    <row r="30" spans="1:6" ht="37.5" x14ac:dyDescent="0.35">
      <c r="A30" s="3">
        <v>29</v>
      </c>
      <c r="B30" s="3" t="s">
        <v>87</v>
      </c>
      <c r="C30" s="3" t="s">
        <v>92</v>
      </c>
      <c r="D30" s="3" t="s">
        <v>93</v>
      </c>
      <c r="E30" s="5" t="s">
        <v>85</v>
      </c>
      <c r="F30" s="3" t="s">
        <v>94</v>
      </c>
    </row>
    <row r="31" spans="1:6" ht="25" x14ac:dyDescent="0.35">
      <c r="A31" s="3">
        <v>30</v>
      </c>
      <c r="B31" s="3" t="s">
        <v>87</v>
      </c>
      <c r="C31" s="3" t="s">
        <v>95</v>
      </c>
      <c r="D31" s="3" t="s">
        <v>89</v>
      </c>
      <c r="E31" s="6" t="s">
        <v>90</v>
      </c>
      <c r="F31" s="3" t="s">
        <v>96</v>
      </c>
    </row>
    <row r="32" spans="1:6" hidden="1" x14ac:dyDescent="0.35">
      <c r="A32" s="3">
        <v>31</v>
      </c>
      <c r="B32" s="3" t="s">
        <v>97</v>
      </c>
      <c r="C32" s="3" t="s">
        <v>98</v>
      </c>
      <c r="D32" s="3" t="s">
        <v>99</v>
      </c>
      <c r="E32" s="4" t="s">
        <v>9</v>
      </c>
      <c r="F32" s="3" t="s">
        <v>100</v>
      </c>
    </row>
    <row r="33" spans="1:6" ht="25" hidden="1" x14ac:dyDescent="0.35">
      <c r="A33" s="3">
        <v>32</v>
      </c>
      <c r="B33" s="3" t="s">
        <v>97</v>
      </c>
      <c r="C33" s="3" t="s">
        <v>101</v>
      </c>
      <c r="D33" s="3" t="s">
        <v>102</v>
      </c>
      <c r="E33" s="4" t="s">
        <v>9</v>
      </c>
      <c r="F33" s="3" t="s">
        <v>103</v>
      </c>
    </row>
    <row r="34" spans="1:6" hidden="1" x14ac:dyDescent="0.35">
      <c r="A34" s="3">
        <v>33</v>
      </c>
      <c r="B34" s="3" t="s">
        <v>97</v>
      </c>
      <c r="C34" s="3" t="s">
        <v>104</v>
      </c>
      <c r="D34" s="3" t="s">
        <v>102</v>
      </c>
      <c r="E34" s="4" t="s">
        <v>9</v>
      </c>
      <c r="F34" s="3" t="s">
        <v>105</v>
      </c>
    </row>
    <row r="35" spans="1:6" ht="25" hidden="1" x14ac:dyDescent="0.35">
      <c r="A35" s="3">
        <v>34</v>
      </c>
      <c r="B35" s="3" t="s">
        <v>97</v>
      </c>
      <c r="C35" s="3" t="s">
        <v>106</v>
      </c>
      <c r="D35" s="3" t="s">
        <v>107</v>
      </c>
      <c r="E35" s="4" t="s">
        <v>9</v>
      </c>
      <c r="F35" s="3" t="s">
        <v>108</v>
      </c>
    </row>
    <row r="36" spans="1:6" ht="37.5" hidden="1" x14ac:dyDescent="0.35">
      <c r="A36" s="3">
        <v>35</v>
      </c>
      <c r="B36" s="3" t="s">
        <v>109</v>
      </c>
      <c r="C36" s="3" t="s">
        <v>110</v>
      </c>
      <c r="D36" s="3" t="s">
        <v>111</v>
      </c>
      <c r="E36" s="4" t="s">
        <v>9</v>
      </c>
      <c r="F36" s="3"/>
    </row>
    <row r="37" spans="1:6" ht="25" hidden="1" x14ac:dyDescent="0.35">
      <c r="A37" s="3">
        <v>36</v>
      </c>
      <c r="B37" s="3" t="s">
        <v>109</v>
      </c>
      <c r="C37" s="3" t="s">
        <v>112</v>
      </c>
      <c r="D37" s="3" t="s">
        <v>27</v>
      </c>
      <c r="E37" s="4" t="s">
        <v>9</v>
      </c>
      <c r="F37" s="3"/>
    </row>
    <row r="38" spans="1:6" ht="25" hidden="1" x14ac:dyDescent="0.35">
      <c r="A38" s="3">
        <v>37</v>
      </c>
      <c r="B38" s="3" t="s">
        <v>109</v>
      </c>
      <c r="C38" s="3" t="s">
        <v>113</v>
      </c>
      <c r="D38" s="3" t="s">
        <v>114</v>
      </c>
      <c r="E38" s="4" t="s">
        <v>9</v>
      </c>
      <c r="F38" s="3" t="s">
        <v>115</v>
      </c>
    </row>
    <row r="39" spans="1:6" ht="25" hidden="1" x14ac:dyDescent="0.35">
      <c r="A39" s="3">
        <v>38</v>
      </c>
      <c r="B39" s="3" t="s">
        <v>109</v>
      </c>
      <c r="C39" s="3" t="s">
        <v>116</v>
      </c>
      <c r="D39" s="3" t="s">
        <v>60</v>
      </c>
      <c r="E39" s="4" t="s">
        <v>9</v>
      </c>
      <c r="F39" s="3"/>
    </row>
    <row r="40" spans="1:6" ht="25" hidden="1" x14ac:dyDescent="0.35">
      <c r="A40" s="3">
        <v>39</v>
      </c>
      <c r="B40" s="3" t="s">
        <v>117</v>
      </c>
      <c r="C40" s="3" t="s">
        <v>118</v>
      </c>
      <c r="D40" s="3" t="s">
        <v>107</v>
      </c>
      <c r="E40" s="4" t="s">
        <v>9</v>
      </c>
      <c r="F40" s="3"/>
    </row>
    <row r="41" spans="1:6" ht="25" hidden="1" x14ac:dyDescent="0.35">
      <c r="A41" s="3">
        <v>40</v>
      </c>
      <c r="B41" s="3" t="s">
        <v>117</v>
      </c>
      <c r="C41" s="3" t="s">
        <v>119</v>
      </c>
      <c r="D41" s="3" t="s">
        <v>40</v>
      </c>
      <c r="E41" s="4" t="s">
        <v>9</v>
      </c>
      <c r="F41" s="3"/>
    </row>
    <row r="42" spans="1:6" ht="25" x14ac:dyDescent="0.35">
      <c r="A42" s="3">
        <v>41</v>
      </c>
      <c r="B42" s="3" t="s">
        <v>117</v>
      </c>
      <c r="C42" s="3" t="s">
        <v>120</v>
      </c>
      <c r="D42" s="3" t="s">
        <v>121</v>
      </c>
      <c r="E42" s="5" t="s">
        <v>85</v>
      </c>
      <c r="F42" s="3" t="s">
        <v>122</v>
      </c>
    </row>
    <row r="43" spans="1:6" ht="25" hidden="1" x14ac:dyDescent="0.35">
      <c r="A43" s="3">
        <v>42</v>
      </c>
      <c r="B43" s="3" t="s">
        <v>117</v>
      </c>
      <c r="C43" s="3" t="s">
        <v>123</v>
      </c>
      <c r="D43" s="3" t="s">
        <v>24</v>
      </c>
      <c r="E43" s="4" t="s">
        <v>9</v>
      </c>
      <c r="F43" s="3" t="s">
        <v>124</v>
      </c>
    </row>
    <row r="44" spans="1:6" ht="25" hidden="1" x14ac:dyDescent="0.35">
      <c r="A44" s="3">
        <v>43</v>
      </c>
      <c r="B44" s="3" t="s">
        <v>117</v>
      </c>
      <c r="C44" s="3" t="s">
        <v>125</v>
      </c>
      <c r="D44" s="3" t="s">
        <v>126</v>
      </c>
      <c r="E44" s="4" t="s">
        <v>9</v>
      </c>
      <c r="F44" s="3" t="s">
        <v>127</v>
      </c>
    </row>
    <row r="45" spans="1:6" ht="25" hidden="1" x14ac:dyDescent="0.35">
      <c r="A45" s="3">
        <v>44</v>
      </c>
      <c r="B45" s="3" t="s">
        <v>117</v>
      </c>
      <c r="C45" s="3" t="s">
        <v>128</v>
      </c>
      <c r="D45" s="3" t="s">
        <v>129</v>
      </c>
      <c r="E45" s="4" t="s">
        <v>9</v>
      </c>
      <c r="F45" s="3" t="s">
        <v>130</v>
      </c>
    </row>
    <row r="46" spans="1:6" ht="25" hidden="1" x14ac:dyDescent="0.35">
      <c r="A46" s="3">
        <v>45</v>
      </c>
      <c r="B46" s="3" t="s">
        <v>131</v>
      </c>
      <c r="C46" s="3" t="s">
        <v>132</v>
      </c>
      <c r="D46" s="3" t="s">
        <v>133</v>
      </c>
      <c r="E46" s="4" t="s">
        <v>9</v>
      </c>
      <c r="F46" s="3" t="s">
        <v>134</v>
      </c>
    </row>
    <row r="47" spans="1:6" hidden="1" x14ac:dyDescent="0.35">
      <c r="A47" s="3">
        <v>46</v>
      </c>
      <c r="B47" s="3" t="s">
        <v>131</v>
      </c>
      <c r="C47" s="3" t="s">
        <v>135</v>
      </c>
      <c r="D47" s="3" t="s">
        <v>136</v>
      </c>
      <c r="E47" s="4" t="s">
        <v>9</v>
      </c>
      <c r="F47" s="3"/>
    </row>
    <row r="48" spans="1:6" hidden="1" x14ac:dyDescent="0.35">
      <c r="A48" s="3">
        <v>47</v>
      </c>
      <c r="B48" s="3" t="s">
        <v>131</v>
      </c>
      <c r="C48" s="3" t="s">
        <v>137</v>
      </c>
      <c r="D48" s="3" t="s">
        <v>30</v>
      </c>
      <c r="E48" s="4" t="s">
        <v>9</v>
      </c>
      <c r="F48" s="3"/>
    </row>
    <row r="49" spans="1:6" hidden="1" x14ac:dyDescent="0.35">
      <c r="A49" s="3">
        <v>48</v>
      </c>
      <c r="B49" s="3" t="s">
        <v>131</v>
      </c>
      <c r="C49" s="3" t="s">
        <v>138</v>
      </c>
      <c r="D49" s="3" t="s">
        <v>139</v>
      </c>
      <c r="E49" s="4" t="s">
        <v>9</v>
      </c>
      <c r="F49" s="3" t="s">
        <v>140</v>
      </c>
    </row>
    <row r="50" spans="1:6" hidden="1" x14ac:dyDescent="0.35">
      <c r="A50" s="3">
        <v>49</v>
      </c>
      <c r="B50" s="3" t="s">
        <v>131</v>
      </c>
      <c r="C50" s="3" t="s">
        <v>141</v>
      </c>
      <c r="D50" s="3" t="s">
        <v>142</v>
      </c>
      <c r="E50" s="4" t="s">
        <v>9</v>
      </c>
      <c r="F50" s="3"/>
    </row>
    <row r="51" spans="1:6" ht="25" hidden="1" x14ac:dyDescent="0.35">
      <c r="A51" s="3">
        <v>50</v>
      </c>
      <c r="B51" s="3" t="s">
        <v>131</v>
      </c>
      <c r="C51" s="3" t="s">
        <v>143</v>
      </c>
      <c r="D51" s="3" t="s">
        <v>144</v>
      </c>
      <c r="E51" s="4" t="s">
        <v>9</v>
      </c>
      <c r="F51" s="3"/>
    </row>
    <row r="52" spans="1:6" hidden="1" x14ac:dyDescent="0.35">
      <c r="A52" s="3">
        <v>51</v>
      </c>
      <c r="B52" s="3" t="s">
        <v>131</v>
      </c>
      <c r="C52" s="3" t="s">
        <v>145</v>
      </c>
      <c r="D52" s="3" t="s">
        <v>18</v>
      </c>
      <c r="E52" s="4" t="s">
        <v>9</v>
      </c>
      <c r="F52" s="3"/>
    </row>
    <row r="53" spans="1:6" hidden="1" x14ac:dyDescent="0.35">
      <c r="A53" s="3">
        <v>52</v>
      </c>
      <c r="B53" s="3" t="s">
        <v>131</v>
      </c>
      <c r="C53" s="3" t="s">
        <v>146</v>
      </c>
      <c r="D53" s="3" t="s">
        <v>147</v>
      </c>
      <c r="E53" s="4" t="s">
        <v>9</v>
      </c>
      <c r="F53" s="3" t="s">
        <v>148</v>
      </c>
    </row>
    <row r="54" spans="1:6" ht="25" hidden="1" x14ac:dyDescent="0.35">
      <c r="A54" s="3">
        <v>53</v>
      </c>
      <c r="B54" s="3" t="s">
        <v>131</v>
      </c>
      <c r="C54" s="3" t="s">
        <v>149</v>
      </c>
      <c r="D54" s="3" t="s">
        <v>136</v>
      </c>
      <c r="E54" s="4" t="s">
        <v>9</v>
      </c>
      <c r="F54" s="3"/>
    </row>
    <row r="55" spans="1:6" hidden="1" x14ac:dyDescent="0.35">
      <c r="A55" s="3">
        <v>54</v>
      </c>
      <c r="B55" s="3" t="s">
        <v>131</v>
      </c>
      <c r="C55" s="3" t="s">
        <v>150</v>
      </c>
      <c r="D55" s="3" t="s">
        <v>151</v>
      </c>
      <c r="E55" s="4" t="s">
        <v>9</v>
      </c>
      <c r="F55" s="3"/>
    </row>
    <row r="56" spans="1:6" ht="25" hidden="1" x14ac:dyDescent="0.35">
      <c r="A56" s="3">
        <v>55</v>
      </c>
      <c r="B56" s="3" t="s">
        <v>152</v>
      </c>
      <c r="C56" s="3" t="s">
        <v>153</v>
      </c>
      <c r="D56" s="3" t="s">
        <v>154</v>
      </c>
      <c r="E56" s="7" t="s">
        <v>155</v>
      </c>
      <c r="F56" s="3" t="s">
        <v>156</v>
      </c>
    </row>
    <row r="57" spans="1:6" hidden="1" x14ac:dyDescent="0.35">
      <c r="A57" s="3">
        <v>56</v>
      </c>
      <c r="B57" s="3" t="s">
        <v>152</v>
      </c>
      <c r="C57" s="3" t="s">
        <v>157</v>
      </c>
      <c r="D57" s="3" t="s">
        <v>36</v>
      </c>
      <c r="E57" s="4" t="s">
        <v>9</v>
      </c>
      <c r="F57" s="3"/>
    </row>
    <row r="58" spans="1:6" ht="25" hidden="1" x14ac:dyDescent="0.35">
      <c r="A58" s="3">
        <v>57</v>
      </c>
      <c r="B58" s="3" t="s">
        <v>152</v>
      </c>
      <c r="C58" s="3" t="s">
        <v>158</v>
      </c>
      <c r="D58" s="3" t="s">
        <v>159</v>
      </c>
      <c r="E58" s="4" t="s">
        <v>9</v>
      </c>
      <c r="F58" s="3"/>
    </row>
    <row r="59" spans="1:6" ht="25" hidden="1" x14ac:dyDescent="0.35">
      <c r="A59" s="3">
        <v>58</v>
      </c>
      <c r="B59" s="3" t="s">
        <v>152</v>
      </c>
      <c r="C59" s="3" t="s">
        <v>160</v>
      </c>
      <c r="D59" s="3" t="s">
        <v>161</v>
      </c>
      <c r="E59" s="4" t="s">
        <v>9</v>
      </c>
      <c r="F59" s="3" t="s">
        <v>162</v>
      </c>
    </row>
    <row r="60" spans="1:6" ht="25" x14ac:dyDescent="0.35">
      <c r="A60" s="3">
        <v>59</v>
      </c>
      <c r="B60" s="3" t="s">
        <v>163</v>
      </c>
      <c r="C60" s="3" t="s">
        <v>164</v>
      </c>
      <c r="D60" s="3" t="s">
        <v>165</v>
      </c>
      <c r="E60" s="6" t="s">
        <v>90</v>
      </c>
      <c r="F60" s="3" t="s">
        <v>166</v>
      </c>
    </row>
    <row r="61" spans="1:6" ht="25" x14ac:dyDescent="0.35">
      <c r="A61" s="3">
        <v>60</v>
      </c>
      <c r="B61" s="3" t="s">
        <v>163</v>
      </c>
      <c r="C61" s="3" t="s">
        <v>167</v>
      </c>
      <c r="D61" s="3" t="s">
        <v>165</v>
      </c>
      <c r="E61" s="6" t="s">
        <v>90</v>
      </c>
      <c r="F61" s="3"/>
    </row>
    <row r="62" spans="1:6" ht="25" x14ac:dyDescent="0.35">
      <c r="A62" s="3">
        <v>61</v>
      </c>
      <c r="B62" s="3" t="s">
        <v>163</v>
      </c>
      <c r="C62" s="3" t="s">
        <v>168</v>
      </c>
      <c r="D62" s="3" t="s">
        <v>165</v>
      </c>
      <c r="E62" s="6" t="s">
        <v>90</v>
      </c>
      <c r="F62" s="3"/>
    </row>
    <row r="63" spans="1:6" ht="25" x14ac:dyDescent="0.35">
      <c r="A63" s="3">
        <v>62</v>
      </c>
      <c r="B63" s="3" t="s">
        <v>163</v>
      </c>
      <c r="C63" s="3" t="s">
        <v>169</v>
      </c>
      <c r="D63" s="3" t="s">
        <v>165</v>
      </c>
      <c r="E63" s="6" t="s">
        <v>90</v>
      </c>
      <c r="F63" s="3" t="s">
        <v>170</v>
      </c>
    </row>
    <row r="64" spans="1:6" ht="25" x14ac:dyDescent="0.35">
      <c r="A64" s="3">
        <v>63</v>
      </c>
      <c r="B64" s="3" t="s">
        <v>163</v>
      </c>
      <c r="C64" s="3" t="s">
        <v>171</v>
      </c>
      <c r="D64" s="3" t="s">
        <v>165</v>
      </c>
      <c r="E64" s="6" t="s">
        <v>90</v>
      </c>
      <c r="F64" s="3"/>
    </row>
    <row r="65" spans="1:6" ht="25" x14ac:dyDescent="0.35">
      <c r="A65" s="3">
        <v>64</v>
      </c>
      <c r="B65" s="3" t="s">
        <v>163</v>
      </c>
      <c r="C65" s="3" t="s">
        <v>172</v>
      </c>
      <c r="D65" s="3" t="s">
        <v>165</v>
      </c>
      <c r="E65" s="6" t="s">
        <v>90</v>
      </c>
      <c r="F65" s="3"/>
    </row>
    <row r="66" spans="1:6" ht="25" x14ac:dyDescent="0.35">
      <c r="A66" s="3">
        <v>65</v>
      </c>
      <c r="B66" s="3" t="s">
        <v>163</v>
      </c>
      <c r="C66" s="3" t="s">
        <v>173</v>
      </c>
      <c r="D66" s="3" t="s">
        <v>165</v>
      </c>
      <c r="E66" s="5" t="s">
        <v>85</v>
      </c>
      <c r="F66" s="3" t="s">
        <v>174</v>
      </c>
    </row>
    <row r="67" spans="1:6" ht="25" hidden="1" x14ac:dyDescent="0.35">
      <c r="A67" s="3">
        <v>66</v>
      </c>
      <c r="B67" s="3" t="s">
        <v>175</v>
      </c>
      <c r="C67" s="3" t="s">
        <v>176</v>
      </c>
      <c r="D67" s="3" t="s">
        <v>129</v>
      </c>
      <c r="E67" s="4" t="s">
        <v>9</v>
      </c>
      <c r="F67" s="3"/>
    </row>
    <row r="68" spans="1:6" ht="25" x14ac:dyDescent="0.35">
      <c r="A68" s="3">
        <v>67</v>
      </c>
      <c r="B68" s="3" t="s">
        <v>175</v>
      </c>
      <c r="C68" s="3" t="s">
        <v>177</v>
      </c>
      <c r="D68" s="3" t="s">
        <v>178</v>
      </c>
      <c r="E68" s="6" t="s">
        <v>90</v>
      </c>
      <c r="F68" s="3" t="s">
        <v>179</v>
      </c>
    </row>
    <row r="69" spans="1:6" ht="25" x14ac:dyDescent="0.35">
      <c r="A69" s="3">
        <v>68</v>
      </c>
      <c r="B69" s="3" t="s">
        <v>175</v>
      </c>
      <c r="C69" s="3" t="s">
        <v>180</v>
      </c>
      <c r="D69" s="3" t="s">
        <v>181</v>
      </c>
      <c r="E69" s="6" t="s">
        <v>90</v>
      </c>
      <c r="F69" s="3" t="s">
        <v>182</v>
      </c>
    </row>
    <row r="70" spans="1:6" ht="25" x14ac:dyDescent="0.35">
      <c r="A70" s="3">
        <v>69</v>
      </c>
      <c r="B70" s="3" t="s">
        <v>175</v>
      </c>
      <c r="C70" s="3" t="s">
        <v>183</v>
      </c>
      <c r="D70" s="3" t="s">
        <v>165</v>
      </c>
      <c r="E70" s="5" t="s">
        <v>85</v>
      </c>
      <c r="F70" s="3" t="s">
        <v>184</v>
      </c>
    </row>
    <row r="71" spans="1:6" hidden="1" x14ac:dyDescent="0.35">
      <c r="A71" s="3">
        <v>70</v>
      </c>
      <c r="B71" s="3" t="s">
        <v>175</v>
      </c>
      <c r="C71" s="3" t="s">
        <v>185</v>
      </c>
      <c r="D71" s="3" t="s">
        <v>161</v>
      </c>
      <c r="E71" s="4" t="s">
        <v>9</v>
      </c>
      <c r="F71" s="3" t="s">
        <v>186</v>
      </c>
    </row>
    <row r="72" spans="1:6" ht="25" x14ac:dyDescent="0.35">
      <c r="A72" s="3">
        <v>71</v>
      </c>
      <c r="B72" s="3" t="s">
        <v>175</v>
      </c>
      <c r="C72" s="3" t="s">
        <v>187</v>
      </c>
      <c r="D72" s="3" t="s">
        <v>188</v>
      </c>
      <c r="E72" s="6" t="s">
        <v>90</v>
      </c>
      <c r="F72" s="3" t="s">
        <v>189</v>
      </c>
    </row>
    <row r="73" spans="1:6" hidden="1" x14ac:dyDescent="0.35">
      <c r="A73" s="3">
        <v>72</v>
      </c>
      <c r="B73" s="3" t="s">
        <v>175</v>
      </c>
      <c r="C73" s="3" t="s">
        <v>190</v>
      </c>
      <c r="D73" s="3" t="s">
        <v>154</v>
      </c>
      <c r="E73" s="7" t="s">
        <v>155</v>
      </c>
      <c r="F73" s="3" t="s">
        <v>191</v>
      </c>
    </row>
    <row r="74" spans="1:6" ht="25" x14ac:dyDescent="0.35">
      <c r="A74" s="3">
        <v>73</v>
      </c>
      <c r="B74" s="3" t="s">
        <v>192</v>
      </c>
      <c r="C74" s="3" t="s">
        <v>193</v>
      </c>
      <c r="D74" s="3" t="s">
        <v>165</v>
      </c>
      <c r="E74" s="5" t="s">
        <v>85</v>
      </c>
      <c r="F74" s="3" t="s">
        <v>194</v>
      </c>
    </row>
    <row r="75" spans="1:6" ht="25" x14ac:dyDescent="0.35">
      <c r="A75" s="3">
        <v>74</v>
      </c>
      <c r="B75" s="3" t="s">
        <v>192</v>
      </c>
      <c r="C75" s="3" t="s">
        <v>195</v>
      </c>
      <c r="D75" s="3" t="s">
        <v>165</v>
      </c>
      <c r="E75" s="5" t="s">
        <v>85</v>
      </c>
      <c r="F75" s="3" t="s">
        <v>196</v>
      </c>
    </row>
    <row r="76" spans="1:6" ht="25" hidden="1" x14ac:dyDescent="0.35">
      <c r="A76" s="3">
        <v>75</v>
      </c>
      <c r="B76" s="3" t="s">
        <v>197</v>
      </c>
      <c r="C76" s="3" t="s">
        <v>198</v>
      </c>
      <c r="D76" s="3" t="s">
        <v>154</v>
      </c>
      <c r="E76" s="7" t="s">
        <v>155</v>
      </c>
      <c r="F76" s="3" t="s">
        <v>199</v>
      </c>
    </row>
    <row r="77" spans="1:6" ht="25" hidden="1" x14ac:dyDescent="0.35">
      <c r="A77" s="3">
        <v>76</v>
      </c>
      <c r="B77" s="3" t="s">
        <v>197</v>
      </c>
      <c r="C77" s="3" t="s">
        <v>200</v>
      </c>
      <c r="D77" s="3" t="s">
        <v>165</v>
      </c>
      <c r="E77" s="8" t="s">
        <v>201</v>
      </c>
      <c r="F77" s="3" t="s">
        <v>202</v>
      </c>
    </row>
    <row r="78" spans="1:6" ht="25" x14ac:dyDescent="0.35">
      <c r="A78" s="3">
        <v>77</v>
      </c>
      <c r="B78" s="3" t="s">
        <v>197</v>
      </c>
      <c r="C78" s="3" t="s">
        <v>203</v>
      </c>
      <c r="D78" s="3" t="s">
        <v>165</v>
      </c>
      <c r="E78" s="6" t="s">
        <v>90</v>
      </c>
      <c r="F78" s="3"/>
    </row>
    <row r="79" spans="1:6" ht="25" x14ac:dyDescent="0.35">
      <c r="A79" s="3">
        <v>78</v>
      </c>
      <c r="B79" s="3" t="s">
        <v>197</v>
      </c>
      <c r="C79" s="3" t="s">
        <v>204</v>
      </c>
      <c r="D79" s="3" t="s">
        <v>165</v>
      </c>
      <c r="E79" s="6" t="s">
        <v>90</v>
      </c>
      <c r="F79" s="3"/>
    </row>
    <row r="80" spans="1:6" ht="25" hidden="1" x14ac:dyDescent="0.35">
      <c r="A80" s="3">
        <v>79</v>
      </c>
      <c r="B80" s="3" t="s">
        <v>197</v>
      </c>
      <c r="C80" s="3" t="s">
        <v>205</v>
      </c>
      <c r="D80" s="3" t="s">
        <v>154</v>
      </c>
      <c r="E80" s="7" t="s">
        <v>155</v>
      </c>
      <c r="F80" s="3" t="s">
        <v>206</v>
      </c>
    </row>
    <row r="81" spans="1:6" ht="25" hidden="1" x14ac:dyDescent="0.35">
      <c r="A81" s="3">
        <v>80</v>
      </c>
      <c r="B81" s="3" t="s">
        <v>197</v>
      </c>
      <c r="C81" s="3" t="s">
        <v>207</v>
      </c>
      <c r="D81" s="3" t="s">
        <v>161</v>
      </c>
      <c r="E81" s="4" t="s">
        <v>9</v>
      </c>
      <c r="F81" s="3" t="s">
        <v>208</v>
      </c>
    </row>
    <row r="82" spans="1:6" ht="25" x14ac:dyDescent="0.35">
      <c r="A82" s="3">
        <v>81</v>
      </c>
      <c r="B82" s="3" t="s">
        <v>197</v>
      </c>
      <c r="C82" s="3" t="s">
        <v>209</v>
      </c>
      <c r="D82" s="3" t="s">
        <v>210</v>
      </c>
      <c r="E82" s="6" t="s">
        <v>90</v>
      </c>
      <c r="F82" s="3" t="s">
        <v>211</v>
      </c>
    </row>
    <row r="83" spans="1:6" ht="25" hidden="1" x14ac:dyDescent="0.35">
      <c r="A83" s="3">
        <v>82</v>
      </c>
      <c r="B83" s="3" t="s">
        <v>197</v>
      </c>
      <c r="C83" s="3" t="s">
        <v>212</v>
      </c>
      <c r="D83" s="3" t="s">
        <v>84</v>
      </c>
      <c r="E83" s="4" t="s">
        <v>9</v>
      </c>
      <c r="F83" s="3" t="s">
        <v>213</v>
      </c>
    </row>
    <row r="84" spans="1:6" ht="25" hidden="1" x14ac:dyDescent="0.35">
      <c r="A84" s="3">
        <v>83</v>
      </c>
      <c r="B84" s="3" t="s">
        <v>197</v>
      </c>
      <c r="C84" s="3" t="s">
        <v>214</v>
      </c>
      <c r="D84" s="3" t="s">
        <v>215</v>
      </c>
      <c r="E84" s="4" t="s">
        <v>9</v>
      </c>
      <c r="F84" s="3"/>
    </row>
    <row r="85" spans="1:6" ht="25" x14ac:dyDescent="0.35">
      <c r="A85" s="3">
        <v>84</v>
      </c>
      <c r="B85" s="3" t="s">
        <v>197</v>
      </c>
      <c r="C85" s="3" t="s">
        <v>216</v>
      </c>
      <c r="D85" s="3" t="s">
        <v>217</v>
      </c>
      <c r="E85" s="5" t="s">
        <v>85</v>
      </c>
      <c r="F85" s="3" t="s">
        <v>218</v>
      </c>
    </row>
    <row r="86" spans="1:6" ht="25" hidden="1" x14ac:dyDescent="0.35">
      <c r="A86" s="3">
        <v>85</v>
      </c>
      <c r="B86" s="3" t="s">
        <v>197</v>
      </c>
      <c r="C86" s="3" t="s">
        <v>219</v>
      </c>
      <c r="D86" s="3" t="s">
        <v>210</v>
      </c>
      <c r="E86" s="7" t="s">
        <v>155</v>
      </c>
      <c r="F86" s="3" t="s">
        <v>220</v>
      </c>
    </row>
    <row r="87" spans="1:6" ht="25" hidden="1" x14ac:dyDescent="0.35">
      <c r="A87" s="3">
        <v>86</v>
      </c>
      <c r="B87" s="3" t="s">
        <v>197</v>
      </c>
      <c r="C87" s="3" t="s">
        <v>221</v>
      </c>
      <c r="D87" s="3" t="s">
        <v>18</v>
      </c>
      <c r="E87" s="4" t="s">
        <v>9</v>
      </c>
      <c r="F87" s="3"/>
    </row>
    <row r="88" spans="1:6" ht="25" hidden="1" x14ac:dyDescent="0.35">
      <c r="A88" s="3">
        <v>87</v>
      </c>
      <c r="B88" s="3" t="s">
        <v>197</v>
      </c>
      <c r="C88" s="3" t="s">
        <v>222</v>
      </c>
      <c r="D88" s="3" t="s">
        <v>223</v>
      </c>
      <c r="E88" s="4" t="s">
        <v>9</v>
      </c>
      <c r="F88" s="3" t="s">
        <v>224</v>
      </c>
    </row>
    <row r="89" spans="1:6" ht="25" hidden="1" x14ac:dyDescent="0.35">
      <c r="A89" s="3">
        <v>88</v>
      </c>
      <c r="B89" s="3" t="s">
        <v>197</v>
      </c>
      <c r="C89" s="3" t="s">
        <v>225</v>
      </c>
      <c r="D89" s="3" t="s">
        <v>154</v>
      </c>
      <c r="E89" s="7" t="s">
        <v>155</v>
      </c>
      <c r="F89" s="3" t="s">
        <v>226</v>
      </c>
    </row>
    <row r="90" spans="1:6" ht="25" hidden="1" x14ac:dyDescent="0.35">
      <c r="A90" s="3">
        <v>89</v>
      </c>
      <c r="B90" s="3" t="s">
        <v>197</v>
      </c>
      <c r="C90" s="3" t="s">
        <v>227</v>
      </c>
      <c r="D90" s="3" t="s">
        <v>154</v>
      </c>
      <c r="E90" s="7" t="s">
        <v>155</v>
      </c>
      <c r="F90" s="3"/>
    </row>
    <row r="91" spans="1:6" ht="25" hidden="1" x14ac:dyDescent="0.35">
      <c r="A91" s="3">
        <v>90</v>
      </c>
      <c r="B91" s="3" t="s">
        <v>197</v>
      </c>
      <c r="C91" s="3" t="s">
        <v>228</v>
      </c>
      <c r="D91" s="3" t="s">
        <v>229</v>
      </c>
      <c r="E91" s="4" t="s">
        <v>9</v>
      </c>
      <c r="F91" s="3" t="s">
        <v>230</v>
      </c>
    </row>
    <row r="92" spans="1:6" x14ac:dyDescent="0.35">
      <c r="A92" s="3">
        <v>91</v>
      </c>
      <c r="B92" s="3" t="s">
        <v>231</v>
      </c>
      <c r="C92" s="3" t="s">
        <v>232</v>
      </c>
      <c r="D92" s="3" t="s">
        <v>210</v>
      </c>
      <c r="E92" s="6" t="s">
        <v>90</v>
      </c>
      <c r="F92" s="3" t="s">
        <v>233</v>
      </c>
    </row>
    <row r="93" spans="1:6" ht="25" x14ac:dyDescent="0.35">
      <c r="A93" s="3">
        <v>92</v>
      </c>
      <c r="B93" s="3" t="s">
        <v>234</v>
      </c>
      <c r="C93" s="3" t="s">
        <v>235</v>
      </c>
      <c r="D93" s="3" t="s">
        <v>210</v>
      </c>
      <c r="E93" s="5" t="s">
        <v>85</v>
      </c>
      <c r="F93" s="3" t="s">
        <v>236</v>
      </c>
    </row>
    <row r="94" spans="1:6" ht="25" hidden="1" x14ac:dyDescent="0.35">
      <c r="A94" s="3">
        <v>93</v>
      </c>
      <c r="B94" s="3" t="s">
        <v>237</v>
      </c>
      <c r="C94" s="3" t="s">
        <v>238</v>
      </c>
      <c r="D94" s="3" t="s">
        <v>154</v>
      </c>
      <c r="E94" s="4" t="s">
        <v>9</v>
      </c>
      <c r="F94" s="3" t="s">
        <v>239</v>
      </c>
    </row>
    <row r="95" spans="1:6" ht="25" x14ac:dyDescent="0.35">
      <c r="A95" s="3">
        <v>94</v>
      </c>
      <c r="B95" s="3" t="s">
        <v>237</v>
      </c>
      <c r="C95" s="3" t="s">
        <v>240</v>
      </c>
      <c r="D95" s="3" t="s">
        <v>154</v>
      </c>
      <c r="E95" s="5" t="s">
        <v>85</v>
      </c>
      <c r="F95" s="3" t="s">
        <v>241</v>
      </c>
    </row>
    <row r="96" spans="1:6" ht="25" x14ac:dyDescent="0.35">
      <c r="A96" s="3">
        <v>95</v>
      </c>
      <c r="B96" s="3" t="s">
        <v>237</v>
      </c>
      <c r="C96" s="3" t="s">
        <v>242</v>
      </c>
      <c r="D96" s="3" t="s">
        <v>210</v>
      </c>
      <c r="E96" s="6" t="s">
        <v>90</v>
      </c>
      <c r="F96" s="3" t="s">
        <v>243</v>
      </c>
    </row>
    <row r="97" spans="1:6" ht="25" x14ac:dyDescent="0.35">
      <c r="A97" s="3">
        <v>96</v>
      </c>
      <c r="B97" s="3" t="s">
        <v>237</v>
      </c>
      <c r="C97" s="3" t="s">
        <v>244</v>
      </c>
      <c r="D97" s="3" t="s">
        <v>165</v>
      </c>
      <c r="E97" s="5" t="s">
        <v>85</v>
      </c>
      <c r="F97" s="3" t="s">
        <v>245</v>
      </c>
    </row>
    <row r="98" spans="1:6" ht="25" x14ac:dyDescent="0.35">
      <c r="A98" s="3">
        <v>97</v>
      </c>
      <c r="B98" s="3" t="s">
        <v>237</v>
      </c>
      <c r="C98" s="3" t="s">
        <v>246</v>
      </c>
      <c r="D98" s="3" t="s">
        <v>165</v>
      </c>
      <c r="E98" s="5" t="s">
        <v>85</v>
      </c>
      <c r="F98" s="3" t="s">
        <v>247</v>
      </c>
    </row>
    <row r="99" spans="1:6" hidden="1" x14ac:dyDescent="0.35">
      <c r="A99" s="3">
        <v>98</v>
      </c>
      <c r="B99" s="3" t="s">
        <v>248</v>
      </c>
      <c r="C99" s="3" t="s">
        <v>249</v>
      </c>
      <c r="D99" s="3" t="s">
        <v>18</v>
      </c>
      <c r="E99" s="4" t="s">
        <v>9</v>
      </c>
      <c r="F99" s="3"/>
    </row>
    <row r="100" spans="1:6" ht="25" x14ac:dyDescent="0.35">
      <c r="A100" s="3">
        <v>99</v>
      </c>
      <c r="B100" s="3" t="s">
        <v>248</v>
      </c>
      <c r="C100" s="3" t="s">
        <v>250</v>
      </c>
      <c r="D100" s="3" t="s">
        <v>210</v>
      </c>
      <c r="E100" s="5" t="s">
        <v>85</v>
      </c>
      <c r="F100" s="3" t="s">
        <v>251</v>
      </c>
    </row>
    <row r="101" spans="1:6" x14ac:dyDescent="0.35">
      <c r="A101" s="3">
        <v>100</v>
      </c>
      <c r="B101" s="3" t="s">
        <v>248</v>
      </c>
      <c r="C101" s="3" t="s">
        <v>252</v>
      </c>
      <c r="D101" s="3" t="s">
        <v>217</v>
      </c>
      <c r="E101" s="6" t="s">
        <v>90</v>
      </c>
      <c r="F101" s="3" t="s">
        <v>253</v>
      </c>
    </row>
    <row r="102" spans="1:6" ht="25" x14ac:dyDescent="0.35">
      <c r="A102" s="3">
        <v>101</v>
      </c>
      <c r="B102" s="3" t="s">
        <v>248</v>
      </c>
      <c r="C102" s="3" t="s">
        <v>254</v>
      </c>
      <c r="D102" s="3" t="s">
        <v>154</v>
      </c>
      <c r="E102" s="5" t="s">
        <v>85</v>
      </c>
      <c r="F102" s="3" t="s">
        <v>255</v>
      </c>
    </row>
    <row r="103" spans="1:6" ht="25" x14ac:dyDescent="0.35">
      <c r="A103" s="3">
        <v>102</v>
      </c>
      <c r="B103" s="3" t="s">
        <v>248</v>
      </c>
      <c r="C103" s="3" t="s">
        <v>256</v>
      </c>
      <c r="D103" s="3" t="s">
        <v>210</v>
      </c>
      <c r="E103" s="6" t="s">
        <v>90</v>
      </c>
      <c r="F103" s="3" t="s">
        <v>257</v>
      </c>
    </row>
    <row r="104" spans="1:6" ht="25" hidden="1" x14ac:dyDescent="0.35">
      <c r="A104" s="3">
        <v>103</v>
      </c>
      <c r="B104" s="3" t="s">
        <v>258</v>
      </c>
      <c r="C104" s="3" t="s">
        <v>259</v>
      </c>
      <c r="D104" s="3" t="s">
        <v>154</v>
      </c>
      <c r="E104" s="7" t="s">
        <v>155</v>
      </c>
      <c r="F104" s="3" t="s">
        <v>260</v>
      </c>
    </row>
    <row r="105" spans="1:6" hidden="1" x14ac:dyDescent="0.35">
      <c r="A105" s="3">
        <v>104</v>
      </c>
      <c r="B105" s="3" t="s">
        <v>258</v>
      </c>
      <c r="C105" s="3" t="s">
        <v>261</v>
      </c>
      <c r="D105" s="3" t="s">
        <v>154</v>
      </c>
      <c r="E105" s="7" t="s">
        <v>155</v>
      </c>
      <c r="F105" s="3"/>
    </row>
    <row r="106" spans="1:6" hidden="1" x14ac:dyDescent="0.35">
      <c r="A106" s="3">
        <v>105</v>
      </c>
      <c r="B106" s="3" t="s">
        <v>258</v>
      </c>
      <c r="C106" s="3" t="s">
        <v>262</v>
      </c>
      <c r="D106" s="3" t="s">
        <v>154</v>
      </c>
      <c r="E106" s="7" t="s">
        <v>155</v>
      </c>
      <c r="F106" s="3"/>
    </row>
    <row r="107" spans="1:6" ht="25" x14ac:dyDescent="0.35">
      <c r="A107" s="3">
        <v>106</v>
      </c>
      <c r="B107" s="3" t="s">
        <v>263</v>
      </c>
      <c r="C107" s="3" t="s">
        <v>264</v>
      </c>
      <c r="D107" s="3" t="s">
        <v>188</v>
      </c>
      <c r="E107" s="6" t="s">
        <v>90</v>
      </c>
      <c r="F107" s="3" t="s">
        <v>265</v>
      </c>
    </row>
    <row r="108" spans="1:6" ht="25" hidden="1" x14ac:dyDescent="0.35">
      <c r="A108" s="3">
        <v>107</v>
      </c>
      <c r="B108" s="3" t="s">
        <v>266</v>
      </c>
      <c r="C108" s="3" t="s">
        <v>267</v>
      </c>
      <c r="D108" s="3" t="s">
        <v>161</v>
      </c>
      <c r="E108" s="4" t="s">
        <v>9</v>
      </c>
      <c r="F108" s="3" t="s">
        <v>268</v>
      </c>
    </row>
    <row r="109" spans="1:6" ht="25" x14ac:dyDescent="0.35">
      <c r="A109" s="3">
        <v>108</v>
      </c>
      <c r="B109" s="3" t="s">
        <v>266</v>
      </c>
      <c r="C109" s="3" t="s">
        <v>269</v>
      </c>
      <c r="D109" s="3" t="s">
        <v>270</v>
      </c>
      <c r="E109" s="6" t="s">
        <v>90</v>
      </c>
      <c r="F109" s="3" t="s">
        <v>271</v>
      </c>
    </row>
    <row r="110" spans="1:6" ht="25" x14ac:dyDescent="0.35">
      <c r="A110" s="3">
        <v>109</v>
      </c>
      <c r="B110" s="3" t="s">
        <v>266</v>
      </c>
      <c r="C110" s="3" t="s">
        <v>272</v>
      </c>
      <c r="D110" s="3" t="s">
        <v>165</v>
      </c>
      <c r="E110" s="6" t="s">
        <v>90</v>
      </c>
      <c r="F110" s="3" t="s">
        <v>273</v>
      </c>
    </row>
    <row r="111" spans="1:6" ht="25" hidden="1" x14ac:dyDescent="0.35">
      <c r="A111" s="3">
        <v>110</v>
      </c>
      <c r="B111" s="3" t="s">
        <v>274</v>
      </c>
      <c r="C111" s="3" t="s">
        <v>275</v>
      </c>
      <c r="D111" s="3" t="s">
        <v>276</v>
      </c>
      <c r="E111" s="4" t="s">
        <v>9</v>
      </c>
      <c r="F111" s="3" t="s">
        <v>277</v>
      </c>
    </row>
    <row r="112" spans="1:6" ht="25" hidden="1" x14ac:dyDescent="0.35">
      <c r="A112" s="3">
        <v>111</v>
      </c>
      <c r="B112" s="3" t="s">
        <v>274</v>
      </c>
      <c r="C112" s="3" t="s">
        <v>278</v>
      </c>
      <c r="D112" s="3" t="s">
        <v>276</v>
      </c>
      <c r="E112" s="4" t="s">
        <v>9</v>
      </c>
      <c r="F112" s="3" t="s">
        <v>279</v>
      </c>
    </row>
    <row r="113" spans="1:6" ht="25" hidden="1" x14ac:dyDescent="0.35">
      <c r="A113" s="3">
        <v>112</v>
      </c>
      <c r="B113" s="3" t="s">
        <v>274</v>
      </c>
      <c r="C113" s="3" t="s">
        <v>280</v>
      </c>
      <c r="D113" s="3" t="s">
        <v>276</v>
      </c>
      <c r="E113" s="4" t="s">
        <v>9</v>
      </c>
      <c r="F113" s="3" t="s">
        <v>281</v>
      </c>
    </row>
    <row r="114" spans="1:6" ht="25" hidden="1" x14ac:dyDescent="0.35">
      <c r="A114" s="3">
        <v>113</v>
      </c>
      <c r="B114" s="3" t="s">
        <v>274</v>
      </c>
      <c r="C114" s="3" t="s">
        <v>282</v>
      </c>
      <c r="D114" s="3" t="s">
        <v>276</v>
      </c>
      <c r="E114" s="4" t="s">
        <v>9</v>
      </c>
      <c r="F114" s="3" t="s">
        <v>283</v>
      </c>
    </row>
  </sheetData>
  <autoFilter ref="A1:F114" xr:uid="{00000000-0009-0000-0000-000000000000}">
    <filterColumn colId="4">
      <filters>
        <filter val="Gap"/>
        <filter val="Partial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zoomScaleNormal="100" workbookViewId="0">
      <pane ySplit="1" topLeftCell="A17" activePane="bottomLeft" state="frozen"/>
      <selection pane="bottomLeft"/>
    </sheetView>
  </sheetViews>
  <sheetFormatPr defaultColWidth="8.6328125" defaultRowHeight="14.5" x14ac:dyDescent="0.35"/>
  <cols>
    <col min="1" max="1" width="34" customWidth="1"/>
    <col min="2" max="2" width="26" customWidth="1"/>
    <col min="3" max="3" width="60" customWidth="1"/>
    <col min="4" max="4" width="16" customWidth="1"/>
    <col min="5" max="5" width="26" customWidth="1"/>
  </cols>
  <sheetData>
    <row r="1" spans="1:5" x14ac:dyDescent="0.35">
      <c r="A1" s="2" t="s">
        <v>284</v>
      </c>
      <c r="B1" s="2" t="s">
        <v>285</v>
      </c>
      <c r="C1" s="2" t="s">
        <v>286</v>
      </c>
      <c r="D1" s="2" t="s">
        <v>287</v>
      </c>
      <c r="E1" s="2" t="s">
        <v>288</v>
      </c>
    </row>
    <row r="2" spans="1:5" x14ac:dyDescent="0.35">
      <c r="A2" s="3" t="s">
        <v>144</v>
      </c>
      <c r="B2" s="3" t="s">
        <v>289</v>
      </c>
      <c r="C2" s="3" t="s">
        <v>290</v>
      </c>
      <c r="D2" s="3" t="s">
        <v>291</v>
      </c>
      <c r="E2" s="3" t="s">
        <v>292</v>
      </c>
    </row>
    <row r="3" spans="1:5" x14ac:dyDescent="0.35">
      <c r="A3" s="3" t="s">
        <v>293</v>
      </c>
      <c r="B3" s="3" t="s">
        <v>289</v>
      </c>
      <c r="C3" s="3" t="s">
        <v>294</v>
      </c>
      <c r="D3" s="3" t="s">
        <v>291</v>
      </c>
      <c r="E3" s="3" t="s">
        <v>295</v>
      </c>
    </row>
    <row r="4" spans="1:5" x14ac:dyDescent="0.35">
      <c r="A4" s="3" t="s">
        <v>99</v>
      </c>
      <c r="B4" s="3" t="s">
        <v>289</v>
      </c>
      <c r="C4" s="3" t="s">
        <v>296</v>
      </c>
      <c r="D4" s="3" t="s">
        <v>291</v>
      </c>
      <c r="E4" s="3" t="s">
        <v>297</v>
      </c>
    </row>
    <row r="5" spans="1:5" x14ac:dyDescent="0.35">
      <c r="A5" s="3" t="s">
        <v>75</v>
      </c>
      <c r="B5" s="3" t="s">
        <v>289</v>
      </c>
      <c r="C5" s="3" t="s">
        <v>298</v>
      </c>
      <c r="D5" s="3" t="s">
        <v>291</v>
      </c>
      <c r="E5" s="3" t="s">
        <v>299</v>
      </c>
    </row>
    <row r="6" spans="1:5" x14ac:dyDescent="0.35">
      <c r="A6" s="3" t="s">
        <v>46</v>
      </c>
      <c r="B6" s="3" t="s">
        <v>289</v>
      </c>
      <c r="C6" s="3" t="s">
        <v>300</v>
      </c>
      <c r="D6" s="3" t="s">
        <v>291</v>
      </c>
      <c r="E6" s="3" t="s">
        <v>299</v>
      </c>
    </row>
    <row r="7" spans="1:5" x14ac:dyDescent="0.35">
      <c r="A7" s="3" t="s">
        <v>301</v>
      </c>
      <c r="B7" s="3" t="s">
        <v>289</v>
      </c>
      <c r="C7" s="3" t="s">
        <v>302</v>
      </c>
      <c r="D7" s="3" t="s">
        <v>291</v>
      </c>
      <c r="E7" s="3" t="s">
        <v>303</v>
      </c>
    </row>
    <row r="8" spans="1:5" x14ac:dyDescent="0.35">
      <c r="A8" s="3" t="s">
        <v>30</v>
      </c>
      <c r="B8" s="3" t="s">
        <v>289</v>
      </c>
      <c r="C8" s="3" t="s">
        <v>304</v>
      </c>
      <c r="D8" s="3" t="s">
        <v>291</v>
      </c>
      <c r="E8" s="3" t="s">
        <v>305</v>
      </c>
    </row>
    <row r="9" spans="1:5" x14ac:dyDescent="0.35">
      <c r="A9" s="3" t="s">
        <v>60</v>
      </c>
      <c r="B9" s="3" t="s">
        <v>289</v>
      </c>
      <c r="C9" s="3" t="s">
        <v>306</v>
      </c>
      <c r="D9" s="3" t="s">
        <v>291</v>
      </c>
      <c r="E9" s="3" t="s">
        <v>307</v>
      </c>
    </row>
    <row r="10" spans="1:5" x14ac:dyDescent="0.35">
      <c r="A10" s="3" t="s">
        <v>40</v>
      </c>
      <c r="B10" s="3" t="s">
        <v>289</v>
      </c>
      <c r="C10" s="3" t="s">
        <v>308</v>
      </c>
      <c r="D10" s="3" t="s">
        <v>291</v>
      </c>
      <c r="E10" s="3" t="s">
        <v>297</v>
      </c>
    </row>
    <row r="11" spans="1:5" x14ac:dyDescent="0.35">
      <c r="A11" s="3" t="s">
        <v>49</v>
      </c>
      <c r="B11" s="3" t="s">
        <v>289</v>
      </c>
      <c r="C11" s="3" t="s">
        <v>309</v>
      </c>
      <c r="D11" s="3" t="s">
        <v>291</v>
      </c>
      <c r="E11" s="3" t="s">
        <v>310</v>
      </c>
    </row>
    <row r="12" spans="1:5" x14ac:dyDescent="0.35">
      <c r="A12" s="3" t="s">
        <v>311</v>
      </c>
      <c r="B12" s="3" t="s">
        <v>312</v>
      </c>
      <c r="C12" s="3" t="s">
        <v>313</v>
      </c>
      <c r="D12" s="3" t="s">
        <v>291</v>
      </c>
      <c r="E12" s="3" t="s">
        <v>299</v>
      </c>
    </row>
    <row r="13" spans="1:5" x14ac:dyDescent="0.35">
      <c r="A13" s="3" t="s">
        <v>314</v>
      </c>
      <c r="B13" s="3" t="s">
        <v>312</v>
      </c>
      <c r="C13" s="3" t="s">
        <v>315</v>
      </c>
      <c r="D13" s="3" t="s">
        <v>291</v>
      </c>
      <c r="E13" s="3" t="s">
        <v>295</v>
      </c>
    </row>
    <row r="14" spans="1:5" x14ac:dyDescent="0.35">
      <c r="A14" s="3" t="s">
        <v>316</v>
      </c>
      <c r="B14" s="3" t="s">
        <v>312</v>
      </c>
      <c r="C14" s="3" t="s">
        <v>317</v>
      </c>
      <c r="D14" s="3" t="s">
        <v>291</v>
      </c>
      <c r="E14" s="3" t="s">
        <v>299</v>
      </c>
    </row>
    <row r="15" spans="1:5" x14ac:dyDescent="0.35">
      <c r="A15" s="3" t="s">
        <v>318</v>
      </c>
      <c r="B15" s="3" t="s">
        <v>312</v>
      </c>
      <c r="C15" s="3" t="s">
        <v>319</v>
      </c>
      <c r="D15" s="3" t="s">
        <v>291</v>
      </c>
      <c r="E15" s="3" t="s">
        <v>320</v>
      </c>
    </row>
    <row r="16" spans="1:5" x14ac:dyDescent="0.35">
      <c r="A16" s="3" t="s">
        <v>321</v>
      </c>
      <c r="B16" s="3" t="s">
        <v>312</v>
      </c>
      <c r="C16" s="3" t="s">
        <v>322</v>
      </c>
      <c r="D16" s="3" t="s">
        <v>291</v>
      </c>
      <c r="E16" s="3" t="s">
        <v>323</v>
      </c>
    </row>
    <row r="17" spans="1:5" x14ac:dyDescent="0.35">
      <c r="A17" s="3" t="s">
        <v>36</v>
      </c>
      <c r="B17" s="3" t="s">
        <v>312</v>
      </c>
      <c r="C17" s="3" t="s">
        <v>324</v>
      </c>
      <c r="D17" s="3" t="s">
        <v>291</v>
      </c>
      <c r="E17" s="3" t="s">
        <v>325</v>
      </c>
    </row>
    <row r="18" spans="1:5" x14ac:dyDescent="0.35">
      <c r="A18" s="3" t="s">
        <v>84</v>
      </c>
      <c r="B18" s="3" t="s">
        <v>312</v>
      </c>
      <c r="C18" s="3" t="s">
        <v>326</v>
      </c>
      <c r="D18" s="3" t="s">
        <v>291</v>
      </c>
      <c r="E18" s="3" t="s">
        <v>327</v>
      </c>
    </row>
    <row r="19" spans="1:5" x14ac:dyDescent="0.35">
      <c r="A19" s="3" t="s">
        <v>27</v>
      </c>
      <c r="B19" s="3" t="s">
        <v>312</v>
      </c>
      <c r="C19" s="3" t="s">
        <v>328</v>
      </c>
      <c r="D19" s="3" t="s">
        <v>291</v>
      </c>
      <c r="E19" s="3" t="s">
        <v>329</v>
      </c>
    </row>
    <row r="20" spans="1:5" x14ac:dyDescent="0.35">
      <c r="A20" s="3" t="s">
        <v>229</v>
      </c>
      <c r="B20" s="3" t="s">
        <v>312</v>
      </c>
      <c r="C20" s="3" t="s">
        <v>330</v>
      </c>
      <c r="D20" s="3" t="s">
        <v>291</v>
      </c>
      <c r="E20" s="3" t="s">
        <v>331</v>
      </c>
    </row>
    <row r="21" spans="1:5" x14ac:dyDescent="0.35">
      <c r="A21" s="3" t="s">
        <v>332</v>
      </c>
      <c r="B21" s="3" t="s">
        <v>312</v>
      </c>
      <c r="C21" s="3" t="s">
        <v>333</v>
      </c>
      <c r="D21" s="3" t="s">
        <v>291</v>
      </c>
      <c r="E21" s="3" t="s">
        <v>334</v>
      </c>
    </row>
    <row r="22" spans="1:5" ht="25" x14ac:dyDescent="0.35">
      <c r="A22" s="3" t="s">
        <v>178</v>
      </c>
      <c r="B22" s="3" t="s">
        <v>335</v>
      </c>
      <c r="C22" s="3" t="s">
        <v>336</v>
      </c>
      <c r="D22" s="9" t="s">
        <v>90</v>
      </c>
      <c r="E22" s="3" t="s">
        <v>337</v>
      </c>
    </row>
    <row r="23" spans="1:5" ht="25" x14ac:dyDescent="0.35">
      <c r="A23" s="3" t="s">
        <v>89</v>
      </c>
      <c r="B23" s="3" t="s">
        <v>335</v>
      </c>
      <c r="C23" s="3" t="s">
        <v>338</v>
      </c>
      <c r="D23" s="9" t="s">
        <v>339</v>
      </c>
      <c r="E23" s="3" t="s">
        <v>340</v>
      </c>
    </row>
    <row r="24" spans="1:5" x14ac:dyDescent="0.35">
      <c r="A24" s="3" t="s">
        <v>188</v>
      </c>
      <c r="B24" s="3" t="s">
        <v>335</v>
      </c>
      <c r="C24" s="3" t="s">
        <v>341</v>
      </c>
      <c r="D24" s="9" t="s">
        <v>90</v>
      </c>
      <c r="E24" s="3" t="s">
        <v>342</v>
      </c>
    </row>
    <row r="25" spans="1:5" x14ac:dyDescent="0.35">
      <c r="A25" s="3" t="s">
        <v>181</v>
      </c>
      <c r="B25" s="3" t="s">
        <v>343</v>
      </c>
      <c r="C25" s="3" t="s">
        <v>344</v>
      </c>
      <c r="D25" s="9" t="s">
        <v>90</v>
      </c>
      <c r="E25" s="3" t="s">
        <v>337</v>
      </c>
    </row>
    <row r="26" spans="1:5" ht="37.5" x14ac:dyDescent="0.35">
      <c r="A26" s="3" t="s">
        <v>165</v>
      </c>
      <c r="B26" s="3" t="s">
        <v>345</v>
      </c>
      <c r="C26" s="3" t="s">
        <v>346</v>
      </c>
      <c r="D26" s="9" t="s">
        <v>339</v>
      </c>
      <c r="E26" s="3" t="s">
        <v>347</v>
      </c>
    </row>
    <row r="27" spans="1:5" ht="25" x14ac:dyDescent="0.35">
      <c r="A27" s="3" t="s">
        <v>348</v>
      </c>
      <c r="B27" s="3" t="s">
        <v>345</v>
      </c>
      <c r="C27" s="3" t="s">
        <v>349</v>
      </c>
      <c r="D27" s="10" t="s">
        <v>350</v>
      </c>
      <c r="E27" s="3" t="s">
        <v>351</v>
      </c>
    </row>
  </sheetData>
  <autoFilter ref="A1:E2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topLeftCell="A14" zoomScaleNormal="100" workbookViewId="0">
      <selection sqref="A1:D1"/>
    </sheetView>
  </sheetViews>
  <sheetFormatPr defaultColWidth="8.6328125" defaultRowHeight="14.5" x14ac:dyDescent="0.35"/>
  <cols>
    <col min="1" max="1" width="95" customWidth="1"/>
    <col min="2" max="2" width="12" customWidth="1"/>
  </cols>
  <sheetData>
    <row r="1" spans="1:4" ht="18" x14ac:dyDescent="0.4">
      <c r="A1" s="1" t="s">
        <v>352</v>
      </c>
      <c r="B1" s="1"/>
      <c r="C1" s="1"/>
      <c r="D1" s="1"/>
    </row>
    <row r="3" spans="1:4" x14ac:dyDescent="0.35">
      <c r="A3" s="11" t="s">
        <v>353</v>
      </c>
    </row>
    <row r="5" spans="1:4" x14ac:dyDescent="0.35">
      <c r="A5" s="12" t="s">
        <v>287</v>
      </c>
      <c r="B5" s="12" t="s">
        <v>354</v>
      </c>
    </row>
    <row r="6" spans="1:4" x14ac:dyDescent="0.35">
      <c r="A6" s="13" t="s">
        <v>9</v>
      </c>
      <c r="B6" s="14">
        <f>COUNTIF('Traceability Matrix'!E:E,"Covered")</f>
        <v>67</v>
      </c>
    </row>
    <row r="7" spans="1:4" x14ac:dyDescent="0.35">
      <c r="A7" s="15" t="s">
        <v>85</v>
      </c>
      <c r="B7" s="14">
        <f>COUNTIF('Traceability Matrix'!E:E,"Partial")</f>
        <v>14</v>
      </c>
    </row>
    <row r="8" spans="1:4" x14ac:dyDescent="0.35">
      <c r="A8" s="16" t="s">
        <v>90</v>
      </c>
      <c r="B8" s="14">
        <f>COUNTIF('Traceability Matrix'!E:E,"Gap")</f>
        <v>21</v>
      </c>
    </row>
    <row r="9" spans="1:4" x14ac:dyDescent="0.35">
      <c r="A9" s="17" t="s">
        <v>155</v>
      </c>
      <c r="B9" s="14">
        <f>COUNTIF('Traceability Matrix'!E:E,"Documented")</f>
        <v>10</v>
      </c>
    </row>
    <row r="10" spans="1:4" x14ac:dyDescent="0.35">
      <c r="A10" s="18" t="s">
        <v>201</v>
      </c>
      <c r="B10" s="14">
        <f>COUNTIF('Traceability Matrix'!E:E,"N/A")</f>
        <v>1</v>
      </c>
    </row>
    <row r="11" spans="1:4" x14ac:dyDescent="0.35">
      <c r="A11" s="11" t="s">
        <v>355</v>
      </c>
      <c r="B11" s="11">
        <f>COUNTA('Traceability Matrix'!A2:A1000)</f>
        <v>113</v>
      </c>
    </row>
    <row r="13" spans="1:4" x14ac:dyDescent="0.35">
      <c r="A13" s="19" t="s">
        <v>356</v>
      </c>
    </row>
    <row r="14" spans="1:4" x14ac:dyDescent="0.35">
      <c r="A14" s="20" t="s">
        <v>357</v>
      </c>
    </row>
    <row r="15" spans="1:4" x14ac:dyDescent="0.35">
      <c r="A15" s="20" t="s">
        <v>358</v>
      </c>
    </row>
    <row r="16" spans="1:4" x14ac:dyDescent="0.35">
      <c r="A16" s="20" t="s">
        <v>359</v>
      </c>
    </row>
    <row r="17" spans="1:1" x14ac:dyDescent="0.35">
      <c r="A17" s="20" t="s">
        <v>360</v>
      </c>
    </row>
    <row r="18" spans="1:1" x14ac:dyDescent="0.35">
      <c r="A18" s="20"/>
    </row>
    <row r="19" spans="1:1" x14ac:dyDescent="0.35">
      <c r="A19" s="20" t="s">
        <v>361</v>
      </c>
    </row>
    <row r="20" spans="1:1" x14ac:dyDescent="0.35">
      <c r="A20" s="20" t="s">
        <v>362</v>
      </c>
    </row>
    <row r="21" spans="1:1" x14ac:dyDescent="0.35">
      <c r="A21" s="20" t="s">
        <v>363</v>
      </c>
    </row>
    <row r="22" spans="1:1" x14ac:dyDescent="0.35">
      <c r="A22" s="20" t="s">
        <v>364</v>
      </c>
    </row>
    <row r="23" spans="1:1" x14ac:dyDescent="0.35">
      <c r="A23" s="20" t="s">
        <v>365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Traceability Matrix</vt:lpstr>
      <vt:lpstr>Category Catalog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ELZahar</cp:lastModifiedBy>
  <cp:revision>0</cp:revision>
  <dcterms:created xsi:type="dcterms:W3CDTF">2026-07-03T22:46:44Z</dcterms:created>
  <dcterms:modified xsi:type="dcterms:W3CDTF">2026-07-03T22:55:44Z</dcterms:modified>
  <dc:language>en-US</dc:language>
</cp:coreProperties>
</file>